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37281792c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d1c6de4b8e94c17"/>
    <x:sheet xmlns:r="http://schemas.openxmlformats.org/officeDocument/2006/relationships" name="Master Curriculum" sheetId="2" r:id="R98fc688e117c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0&quot; hours&quot;"/>
    <x:numFmt numFmtId="203" formatCode="0.0"/>
  </x:numFmts>
  <x:fonts count="25">
    <x:font>
      <x:sz val="11"/>
      <x:name val="Carlito"/>
    </x:font>
    <x:font>
      <x:b/>
      <x:sz val="22"/>
      <x:color rgb="FFFFFFFF"/>
      <x:name val="Aptos"/>
    </x:font>
    <x:font>
      <x:sz val="10"/>
      <x:color rgb="FF596E7B"/>
      <x:name val="Aptos"/>
    </x:font>
    <x:font>
      <x:sz val="10"/>
      <x:color rgb="FF223746"/>
      <x:name val="Aptos"/>
    </x:font>
    <x:font>
      <x:b/>
      <x:sz val="10"/>
      <x:color rgb="FFFFFFFF"/>
      <x:name val="Aptos"/>
    </x:font>
    <x:font>
      <x:b/>
      <x:sz val="10"/>
      <x:color rgb="FF0E7C75"/>
      <x:name val="Aptos"/>
    </x:font>
    <x:font>
      <x:b/>
      <x:sz val="10"/>
      <x:color rgb="FF365F9D"/>
      <x:name val="Aptos"/>
    </x:font>
    <x:font>
      <x:b/>
      <x:sz val="10"/>
      <x:color rgb="FF74548D"/>
      <x:name val="Aptos"/>
    </x:font>
    <x:font>
      <x:b/>
      <x:sz val="10"/>
      <x:color rgb="FF223746"/>
      <x:name val="Aptos"/>
    </x:font>
    <x:font>
      <x:b/>
      <x:sz val="10"/>
      <x:color rgb="FF2458A6"/>
      <x:name val="Aptos"/>
    </x:font>
    <x:font>
      <x:b/>
      <x:sz val="10"/>
      <x:color rgb="FF0D665D"/>
      <x:name val="Aptos"/>
    </x:font>
    <x:font>
      <x:sz val="10"/>
      <x:color rgb="FF2458A6"/>
      <x:name val="Aptos"/>
    </x:font>
    <x:font>
      <x:b/>
      <x:sz val="11"/>
      <x:color rgb="FFFFFFFF"/>
      <x:name val="Aptos"/>
    </x:font>
    <x:font>
      <x:b/>
      <x:sz val="29"/>
      <x:color rgb="FF0E7C75"/>
      <x:name val="Aptos"/>
    </x:font>
    <x:font>
      <x:sz val="10"/>
      <x:color rgb="FF0E7C75"/>
      <x:name val="Aptos"/>
    </x:font>
    <x:font>
      <x:b/>
      <x:sz val="29"/>
      <x:color rgb="FF365F9D"/>
      <x:name val="Aptos"/>
    </x:font>
    <x:font>
      <x:sz val="10"/>
      <x:color rgb="FF365F9D"/>
      <x:name val="Aptos"/>
    </x:font>
    <x:font>
      <x:b/>
      <x:sz val="29"/>
      <x:color rgb="FF74548D"/>
      <x:name val="Aptos"/>
    </x:font>
    <x:font>
      <x:sz val="10"/>
      <x:color rgb="FF74548D"/>
      <x:name val="Aptos"/>
    </x:font>
    <x:font>
      <x:sz val="11"/>
      <x:color rgb="FF223746"/>
      <x:name val="Aptos"/>
    </x:font>
    <x:font>
      <x:b/>
      <x:sz val="12"/>
      <x:color rgb="FF0D665D"/>
      <x:name val="Aptos"/>
    </x:font>
    <x:font>
      <x:b/>
      <x:sz val="11"/>
      <x:color rgb="FF2458A6"/>
      <x:name val="Aptos"/>
    </x:font>
    <x:font>
      <x:b/>
      <x:sz val="10"/>
      <x:color rgb="FF087F8C"/>
      <x:name val="Aptos"/>
    </x:font>
    <x:font>
      <x:b/>
      <x:sz val="10"/>
      <x:color rgb="FF536B7A"/>
      <x:name val="Calibri"/>
    </x:font>
    <x:font>
      <x:sz val="10"/>
      <x:color rgb="FF536B7A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173042"/>
      </x:patternFill>
    </x:fill>
    <x:fill>
      <x:patternFill patternType="solid">
        <x:fgColor rgb="FFEAF0F4"/>
      </x:patternFill>
    </x:fill>
    <x:fill>
      <x:patternFill patternType="solid">
        <x:fgColor rgb="FFFFFFFF"/>
      </x:patternFill>
    </x:fill>
    <x:fill>
      <x:patternFill patternType="solid">
        <x:fgColor rgb="FFE8F5F1"/>
      </x:patternFill>
    </x:fill>
    <x:fill>
      <x:patternFill patternType="solid">
        <x:fgColor rgb="FFF3F6F8"/>
      </x:patternFill>
    </x:fill>
    <x:fill>
      <x:patternFill patternType="solid">
        <x:fgColor rgb="FFEDF2FA"/>
      </x:patternFill>
    </x:fill>
    <x:fill>
      <x:patternFill patternType="solid">
        <x:fgColor rgb="FFF3EDF7"/>
      </x:patternFill>
    </x:fill>
    <x:fill>
      <x:patternFill patternType="solid">
        <x:fgColor rgb="FFE2EEE9"/>
      </x:patternFill>
    </x:fill>
    <x:fill>
      <x:patternFill patternType="solid">
        <x:fgColor rgb="FF0E7C75"/>
      </x:patternFill>
    </x:fill>
    <x:fill>
      <x:patternFill patternType="solid">
        <x:fgColor rgb="FF365F9D"/>
      </x:patternFill>
    </x:fill>
    <x:fill>
      <x:patternFill patternType="solid">
        <x:fgColor rgb="FF74548D"/>
      </x:patternFill>
    </x:fill>
    <x:fill>
      <x:patternFill patternType="solid">
        <x:fgColor rgb="FFDDEDE8"/>
      </x:patternFill>
    </x:fill>
    <x:fill>
      <x:patternFill patternType="solid">
        <x:fgColor rgb="FFF1F6F8"/>
      </x:patternFill>
    </x:fill>
    <x:fill>
      <x:patternFill patternType="solid">
        <x:fgColor rgb="FFFFFFFF"/>
      </x:patternFill>
    </x:fill>
    <x:fill>
      <x:patternFill patternType="solid">
        <x:fgColor rgb="FFF1F6F8"/>
      </x:patternFill>
    </x:fill>
  </x:fills>
  <x:borders count="2">
    <x:border/>
    <x:border/>
  </x:borders>
  <x:cellStyleXfs count="1">
    <x:xf numFmtId="0" fontId="0" fillId="0" borderId="0"/>
  </x:cellStyleXfs>
  <x:cellXfs count="2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horizontal="center" vertical="top" wrapText="1"/>
    </x:xf>
    <x:xf numFmtId="200" fontId="3" fillId="6" borderId="0" xfId="0" applyNumberFormat="1" applyFont="1" applyFill="1" applyBorder="1" applyAlignment="1">
      <x:alignment horizontal="center" vertical="top" wrapText="1"/>
    </x:xf>
    <x:xf numFmtId="200" fontId="3" fillId="4" borderId="1" xfId="0" applyNumberFormat="1" applyFont="1" applyFill="1" applyBorder="1" applyAlignment="1">
      <x:alignment horizontal="center" vertical="top" wrapText="1"/>
    </x:xf>
    <x:xf numFmtId="200" fontId="3" fillId="6" borderId="1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200" fontId="9" fillId="4" borderId="0" xfId="0" applyNumberFormat="1" applyFont="1" applyFill="1" applyBorder="1" applyAlignment="1">
      <x:alignment horizontal="center" vertical="top" wrapText="1"/>
    </x:xf>
    <x:xf numFmtId="200" fontId="9" fillId="6" borderId="0" xfId="0" applyNumberFormat="1" applyFont="1" applyFill="1" applyBorder="1" applyAlignment="1">
      <x:alignment horizontal="center" vertical="top" wrapText="1"/>
    </x:xf>
    <x:xf numFmtId="200" fontId="9" fillId="4" borderId="1" xfId="0" applyNumberFormat="1" applyFont="1" applyFill="1" applyBorder="1" applyAlignment="1">
      <x:alignment horizontal="center" vertical="top" wrapText="1"/>
    </x:xf>
    <x:xf numFmtId="200" fontId="9" fillId="6" borderId="1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200" fontId="10" fillId="4" borderId="0" xfId="0" applyNumberFormat="1" applyFont="1" applyFill="1" applyBorder="1" applyAlignment="1">
      <x:alignment horizontal="center" vertical="top" wrapText="1"/>
    </x:xf>
    <x:xf numFmtId="200" fontId="10" fillId="6" borderId="0" xfId="0" applyNumberFormat="1" applyFont="1" applyFill="1" applyBorder="1" applyAlignment="1">
      <x:alignment horizontal="center" vertical="top" wrapText="1"/>
    </x:xf>
    <x:xf numFmtId="200" fontId="10" fillId="4" borderId="1" xfId="0" applyNumberFormat="1" applyFont="1" applyFill="1" applyBorder="1" applyAlignment="1">
      <x:alignment horizontal="center" vertical="top" wrapText="1"/>
    </x:xf>
    <x:xf numFmtId="200" fontId="10" fillId="6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center" wrapText="1"/>
    </x:xf>
    <x:xf numFmtId="200" fontId="3" fillId="7" borderId="0" xfId="0" applyNumberFormat="1" applyFont="1" applyFill="1" applyBorder="1" applyAlignment="1">
      <x:alignment vertical="center" wrapText="1"/>
    </x:xf>
    <x:xf numFmtId="200" fontId="3" fillId="8" borderId="0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0" fontId="3" fillId="7" borderId="1" xfId="0" applyNumberFormat="1" applyFont="1" applyFill="1" applyBorder="1" applyAlignment="1">
      <x:alignment vertical="center" wrapText="1"/>
    </x:xf>
    <x:xf numFmtId="200" fontId="3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top" wrapText="1"/>
    </x:xf>
    <x:xf numFmtId="201" fontId="3" fillId="6" borderId="0" xfId="0" applyNumberFormat="1" applyFont="1" applyFill="1" applyBorder="1" applyAlignment="1">
      <x:alignment vertical="top" wrapText="1"/>
    </x:xf>
    <x:xf numFmtId="201" fontId="8" fillId="9" borderId="0" xfId="0" applyNumberFormat="1" applyFont="1" applyFill="1" applyBorder="1" applyAlignment="1">
      <x:alignment vertical="center" wrapText="1"/>
    </x:xf>
    <x:xf numFmtId="201" fontId="3" fillId="4" borderId="1" xfId="0" applyNumberFormat="1" applyFont="1" applyFill="1" applyBorder="1" applyAlignment="1">
      <x:alignment vertical="top" wrapText="1"/>
    </x:xf>
    <x:xf numFmtId="201" fontId="3" fillId="6" borderId="1" xfId="0" applyNumberFormat="1" applyFont="1" applyFill="1" applyBorder="1" applyAlignment="1">
      <x:alignment vertical="top" wrapText="1"/>
    </x:xf>
    <x:xf numFmtId="201" fontId="8" fillId="9" borderId="1" xfId="0" applyNumberFormat="1" applyFont="1" applyFill="1" applyBorder="1" applyAlignment="1">
      <x:alignment vertical="center" wrapText="1"/>
    </x:xf>
    <x:xf numFmtId="201" fontId="9" fillId="4" borderId="0" xfId="0" applyNumberFormat="1" applyFont="1" applyFill="1" applyBorder="1" applyAlignment="1">
      <x:alignment vertical="top" wrapText="1"/>
    </x:xf>
    <x:xf numFmtId="201" fontId="9" fillId="6" borderId="0" xfId="0" applyNumberFormat="1" applyFont="1" applyFill="1" applyBorder="1" applyAlignment="1">
      <x:alignment vertical="top" wrapText="1"/>
    </x:xf>
    <x:xf numFmtId="201" fontId="9" fillId="4" borderId="1" xfId="0" applyNumberFormat="1" applyFont="1" applyFill="1" applyBorder="1" applyAlignment="1">
      <x:alignment vertical="top" wrapText="1"/>
    </x:xf>
    <x:xf numFmtId="201" fontId="9" fillId="6" borderId="1" xfId="0" applyNumberFormat="1" applyFont="1" applyFill="1" applyBorder="1" applyAlignment="1">
      <x:alignment vertical="top" wrapText="1"/>
    </x:xf>
    <x:xf numFmtId="201" fontId="10" fillId="9" borderId="0" xfId="0" applyNumberFormat="1" applyFont="1" applyFill="1" applyBorder="1" applyAlignment="1">
      <x:alignment vertical="center" wrapText="1"/>
    </x:xf>
    <x:xf numFmtId="201" fontId="10" fillId="9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12" fillId="10" borderId="1" xfId="0" applyNumberFormat="1" applyFont="1" applyFill="1" applyBorder="1" applyAlignment="1">
      <x:alignment vertical="center" wrapText="1"/>
    </x:xf>
    <x:xf numFmtId="0" fontId="12" fillId="10" borderId="1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202" fontId="13" fillId="5" borderId="0" xfId="0" applyNumberFormat="1" applyFont="1" applyFill="1" applyBorder="1" applyAlignment="1">
      <x:alignment horizontal="center" vertical="center" wrapText="1"/>
    </x:xf>
    <x:xf numFmtId="202" fontId="13" fillId="5" borderId="1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4" fillId="5" borderId="1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12" fillId="11" borderId="1" xfId="0" applyNumberFormat="1" applyFont="1" applyFill="1" applyBorder="1" applyAlignment="1">
      <x:alignment vertical="center" wrapText="1"/>
    </x:xf>
    <x:xf numFmtId="0" fontId="12" fillId="11" borderId="1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15" fillId="7" borderId="1" xfId="0" applyNumberFormat="1" applyFont="1" applyFill="1" applyBorder="1" applyAlignment="1">
      <x:alignment vertical="center" wrapText="1"/>
    </x:xf>
    <x:xf numFmtId="0" fontId="15" fillId="7" borderId="1" xfId="0" applyNumberFormat="1" applyFont="1" applyFill="1" applyBorder="1" applyAlignment="1">
      <x:alignment horizontal="center" vertical="center" wrapText="1"/>
    </x:xf>
    <x:xf numFmtId="202" fontId="15" fillId="7" borderId="0" xfId="0" applyNumberFormat="1" applyFont="1" applyFill="1" applyBorder="1" applyAlignment="1">
      <x:alignment horizontal="center" vertical="center" wrapText="1"/>
    </x:xf>
    <x:xf numFmtId="202" fontId="15" fillId="7" borderId="1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12" fillId="12" borderId="1" xfId="0" applyNumberFormat="1" applyFont="1" applyFill="1" applyBorder="1" applyAlignment="1">
      <x:alignment vertical="center" wrapText="1"/>
    </x:xf>
    <x:xf numFmtId="0" fontId="12" fillId="12" borderId="1" xfId="0" applyNumberFormat="1" applyFont="1" applyFill="1" applyBorder="1" applyAlignment="1">
      <x:alignment horizontal="center"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17" fillId="8" borderId="1" xfId="0" applyNumberFormat="1" applyFont="1" applyFill="1" applyBorder="1" applyAlignment="1">
      <x:alignment vertical="center" wrapText="1"/>
    </x:xf>
    <x:xf numFmtId="0" fontId="17" fillId="8" borderId="1" xfId="0" applyNumberFormat="1" applyFont="1" applyFill="1" applyBorder="1" applyAlignment="1">
      <x:alignment horizontal="center" vertical="center" wrapText="1"/>
    </x:xf>
    <x:xf numFmtId="202" fontId="17" fillId="8" borderId="0" xfId="0" applyNumberFormat="1" applyFont="1" applyFill="1" applyBorder="1" applyAlignment="1">
      <x:alignment horizontal="center" vertical="center" wrapText="1"/>
    </x:xf>
    <x:xf numFmtId="202" fontId="17" fillId="8" borderId="1" xfId="0" applyNumberFormat="1" applyFont="1" applyFill="1" applyBorder="1" applyAlignment="1">
      <x:alignment horizontal="center" vertical="center" wrapText="1"/>
    </x:xf>
    <x:xf numFmtId="0" fontId="18" fillId="8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horizontal="center" vertical="center" wrapText="1"/>
    </x:xf>
    <x:xf numFmtId="0" fontId="18" fillId="8" borderId="1" xfId="0" applyNumberFormat="1" applyFont="1" applyFill="1" applyBorder="1" applyAlignment="1">
      <x:alignment vertical="center" wrapText="1"/>
    </x:xf>
    <x:xf numFmtId="0" fontId="18" fillId="8" borderId="1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vertical="center" wrapText="1"/>
    </x:xf>
    <x:xf numFmtId="0" fontId="19" fillId="4" borderId="0" xfId="0" applyNumberFormat="1" applyFont="1" applyFill="1" applyBorder="1" applyAlignment="1">
      <x:alignment vertical="center" wrapText="1"/>
    </x:xf>
    <x:xf numFmtId="0" fontId="19" fillId="4" borderId="1" xfId="0" applyNumberFormat="1" applyFont="1" applyFill="1" applyBorder="1" applyAlignment="1">
      <x:alignment vertical="center" wrapText="1"/>
    </x:xf>
    <x:xf numFmtId="0" fontId="19" fillId="4" borderId="0" xfId="0" applyNumberFormat="1" applyFont="1" applyFill="1" applyBorder="1" applyAlignment="1">
      <x:alignment horizontal="center" vertical="center" wrapText="1"/>
    </x:xf>
    <x:xf numFmtId="0" fontId="19" fillId="4" borderId="1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borderId="1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1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20" fillId="13" borderId="1" xfId="0" applyNumberFormat="1" applyFont="1" applyFill="1" applyBorder="1" applyAlignment="1">
      <x:alignment vertical="center" wrapText="1"/>
    </x:xf>
    <x:xf numFmtId="200" fontId="19" fillId="4" borderId="0" xfId="0" applyNumberFormat="1" applyFont="1" applyFill="1" applyBorder="1" applyAlignment="1">
      <x:alignment horizontal="center" vertical="center" wrapText="1"/>
    </x:xf>
    <x:xf numFmtId="200" fontId="19" fillId="6" borderId="0" xfId="0" applyNumberFormat="1" applyFont="1" applyFill="1" applyBorder="1" applyAlignment="1">
      <x:alignment horizontal="center" vertical="center" wrapText="1"/>
    </x:xf>
    <x:xf numFmtId="200" fontId="20" fillId="13" borderId="0" xfId="0" applyNumberFormat="1" applyFont="1" applyFill="1" applyBorder="1" applyAlignment="1">
      <x:alignment vertical="center" wrapText="1"/>
    </x:xf>
    <x:xf numFmtId="200" fontId="19" fillId="4" borderId="1" xfId="0" applyNumberFormat="1" applyFont="1" applyFill="1" applyBorder="1" applyAlignment="1">
      <x:alignment horizontal="center" vertical="center" wrapText="1"/>
    </x:xf>
    <x:xf numFmtId="200" fontId="19" fillId="6" borderId="1" xfId="0" applyNumberFormat="1" applyFont="1" applyFill="1" applyBorder="1" applyAlignment="1">
      <x:alignment horizontal="center" vertical="center" wrapText="1"/>
    </x:xf>
    <x:xf numFmtId="200" fontId="20" fillId="13" borderId="1" xfId="0" applyNumberFormat="1" applyFont="1" applyFill="1" applyBorder="1" applyAlignment="1">
      <x:alignment vertical="center" wrapText="1"/>
    </x:xf>
    <x:xf numFmtId="200" fontId="20" fillId="13" borderId="0" xfId="0" applyNumberFormat="1" applyFont="1" applyFill="1" applyBorder="1" applyAlignment="1">
      <x:alignment horizontal="center" vertical="center" wrapText="1"/>
    </x:xf>
    <x:xf numFmtId="200" fontId="20" fillId="13" borderId="1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2" fillId="14" borderId="0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2" fillId="14" borderId="1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vertical="center" wrapText="1"/>
    </x:xf>
    <x:xf numFmtId="0" fontId="19" fillId="5" borderId="1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horizontal="center" vertical="center" wrapText="1"/>
    </x:xf>
    <x:xf numFmtId="0" fontId="19" fillId="5" borderId="1" xfId="0" applyNumberFormat="1" applyFont="1" applyFill="1" applyBorder="1" applyAlignment="1">
      <x:alignment horizontal="center" vertical="center" wrapText="1"/>
    </x:xf>
    <x:xf numFmtId="0" fontId="21" fillId="5" borderId="0" xfId="0" applyNumberFormat="1" applyFont="1" applyFill="1" applyBorder="1" applyAlignment="1">
      <x:alignment horizontal="center" vertical="center" wrapText="1"/>
    </x:xf>
    <x:xf numFmtId="0" fontId="21" fillId="5" borderId="1" xfId="0" applyNumberFormat="1" applyFont="1" applyFill="1" applyBorder="1" applyAlignment="1">
      <x:alignment horizontal="center" vertical="center" wrapText="1"/>
    </x:xf>
    <x:xf numFmtId="0" fontId="19" fillId="7" borderId="0" xfId="0" applyNumberFormat="1" applyFont="1" applyFill="1" applyBorder="1" applyAlignment="1">
      <x:alignment vertical="center" wrapText="1"/>
    </x:xf>
    <x:xf numFmtId="0" fontId="19" fillId="7" borderId="1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horizontal="center" vertical="center" wrapText="1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21" fillId="7" borderId="0" xfId="0" applyNumberFormat="1" applyFont="1" applyFill="1" applyBorder="1" applyAlignment="1">
      <x:alignment horizontal="center" vertical="center" wrapText="1"/>
    </x:xf>
    <x:xf numFmtId="0" fontId="21" fillId="7" borderId="1" xfId="0" applyNumberFormat="1" applyFont="1" applyFill="1" applyBorder="1" applyAlignment="1">
      <x:alignment horizontal="center" vertical="center" wrapText="1"/>
    </x:xf>
    <x:xf numFmtId="0" fontId="19" fillId="8" borderId="0" xfId="0" applyNumberFormat="1" applyFont="1" applyFill="1" applyBorder="1" applyAlignment="1">
      <x:alignment vertical="center" wrapText="1"/>
    </x:xf>
    <x:xf numFmtId="0" fontId="19" fillId="8" borderId="1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horizontal="center" vertical="center" wrapText="1"/>
    </x:xf>
    <x:xf numFmtId="0" fontId="19" fillId="8" borderId="1" xfId="0" applyNumberFormat="1" applyFont="1" applyFill="1" applyBorder="1" applyAlignment="1">
      <x:alignment horizontal="center" vertical="center" wrapText="1"/>
    </x:xf>
    <x:xf numFmtId="0" fontId="21" fillId="8" borderId="0" xfId="0" applyNumberFormat="1" applyFont="1" applyFill="1" applyBorder="1" applyAlignment="1">
      <x:alignment horizontal="center" vertical="center" wrapText="1"/>
    </x:xf>
    <x:xf numFmtId="0" fontId="21" fillId="8" borderId="1" xfId="0" applyNumberFormat="1" applyFont="1" applyFill="1" applyBorder="1" applyAlignment="1">
      <x:alignment horizontal="center" vertical="center" wrapText="1"/>
    </x:xf>
    <x:xf numFmtId="203" fontId="19" fillId="5" borderId="0" xfId="0" applyNumberFormat="1" applyFont="1" applyFill="1" applyBorder="1" applyAlignment="1">
      <x:alignment horizontal="center" vertical="center" wrapText="1"/>
    </x:xf>
    <x:xf numFmtId="203" fontId="19" fillId="7" borderId="0" xfId="0" applyNumberFormat="1" applyFont="1" applyFill="1" applyBorder="1" applyAlignment="1">
      <x:alignment horizontal="center" vertical="center" wrapText="1"/>
    </x:xf>
    <x:xf numFmtId="203" fontId="19" fillId="8" borderId="0" xfId="0" applyNumberFormat="1" applyFont="1" applyFill="1" applyBorder="1" applyAlignment="1">
      <x:alignment horizontal="center" vertical="center" wrapText="1"/>
    </x:xf>
    <x:xf numFmtId="203" fontId="19" fillId="5" borderId="1" xfId="0" applyNumberFormat="1" applyFont="1" applyFill="1" applyBorder="1" applyAlignment="1">
      <x:alignment horizontal="center" vertical="center" wrapText="1"/>
    </x:xf>
    <x:xf numFmtId="203" fontId="19" fillId="7" borderId="1" xfId="0" applyNumberFormat="1" applyFont="1" applyFill="1" applyBorder="1" applyAlignment="1">
      <x:alignment horizontal="center" vertical="center" wrapText="1"/>
    </x:xf>
    <x:xf numFmtId="203" fontId="19" fillId="8" borderId="1" xfId="0" applyNumberFormat="1" applyFont="1" applyFill="1" applyBorder="1" applyAlignment="1">
      <x:alignment horizontal="center" vertical="center" wrapText="1"/>
    </x:xf>
    <x:xf numFmtId="200" fontId="19" fillId="5" borderId="0" xfId="0" applyNumberFormat="1" applyFont="1" applyFill="1" applyBorder="1" applyAlignment="1">
      <x:alignment horizontal="center" vertical="center" wrapText="1"/>
    </x:xf>
    <x:xf numFmtId="200" fontId="19" fillId="7" borderId="0" xfId="0" applyNumberFormat="1" applyFont="1" applyFill="1" applyBorder="1" applyAlignment="1">
      <x:alignment horizontal="center" vertical="center" wrapText="1"/>
    </x:xf>
    <x:xf numFmtId="200" fontId="19" fillId="8" borderId="0" xfId="0" applyNumberFormat="1" applyFont="1" applyFill="1" applyBorder="1" applyAlignment="1">
      <x:alignment horizontal="center" vertical="center" wrapText="1"/>
    </x:xf>
    <x:xf numFmtId="200" fontId="19" fillId="5" borderId="1" xfId="0" applyNumberFormat="1" applyFont="1" applyFill="1" applyBorder="1" applyAlignment="1">
      <x:alignment horizontal="center" vertical="center" wrapText="1"/>
    </x:xf>
    <x:xf numFmtId="200" fontId="19" fillId="7" borderId="1" xfId="0" applyNumberFormat="1" applyFont="1" applyFill="1" applyBorder="1" applyAlignment="1">
      <x:alignment horizontal="center" vertical="center" wrapText="1"/>
    </x:xf>
    <x:xf numFmtId="200" fontId="19" fillId="8" borderId="1" xfId="0" applyNumberFormat="1" applyFont="1" applyFill="1" applyBorder="1" applyAlignment="1">
      <x:alignment horizontal="center" vertical="center" wrapText="1"/>
    </x:xf>
    <x:xf numFmtId="0" fontId="22" fillId="4" borderId="0" xfId="0" applyNumberFormat="1" applyFont="1" applyFill="1" applyBorder="1" applyAlignment="1">
      <x:alignment vertical="center" wrapText="1"/>
    </x:xf>
    <x:xf numFmtId="0" fontId="22" fillId="4" borderId="1" xfId="0" applyNumberFormat="1" applyFont="1" applyFill="1" applyBorder="1" applyAlignment="1">
      <x:alignment vertical="center" wrapText="1"/>
    </x:xf>
    <x:xf numFmtId="0" fontId="22" fillId="6" borderId="0" xfId="0" applyNumberFormat="1" applyFont="1" applyFill="1" applyBorder="1" applyAlignment="1">
      <x:alignment vertical="center" wrapText="1"/>
    </x:xf>
    <x:xf numFmtId="0" fontId="22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2" fillId="15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2" fillId="15" borderId="0" xfId="0" applyNumberFormat="1" applyFont="1" applyFill="1" applyBorder="1" applyAlignment="1">
      <x:alignment vertical="center" wrapText="1"/>
    </x:xf>
    <x:xf numFmtId="0" fontId="22" fillId="16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vertical="center" wrapText="1"/>
    </x:xf>
    <x:xf numFmtId="0" fontId="23" fillId="16" borderId="0" xfId="0" applyNumberFormat="1" applyFont="1" applyFill="1" applyBorder="1" applyAlignment="1">
      <x:alignment vertical="center" wrapText="1"/>
    </x:xf>
    <x:xf numFmtId="0" fontId="24" fillId="1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3A12"/>
      </x:font>
      <x:fill>
        <x:patternFill>
          <x:bgColor rgb="FFFCE7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7c9d745c64a33" /><Relationship Type="http://schemas.openxmlformats.org/officeDocument/2006/relationships/theme" Target="/xl/theme/theme1.xml" Id="Raf7b40169f554413" /><Relationship Type="http://schemas.openxmlformats.org/officeDocument/2006/relationships/sharedStrings" Target="/xl/sharedStrings.xml" Id="R3a8d7311f80647a8" /><Relationship Type="http://schemas.openxmlformats.org/officeDocument/2006/relationships/worksheet" Target="/xl/worksheets/sheet1.xml" Id="R3d1c6de4b8e94c17" /><Relationship Type="http://schemas.openxmlformats.org/officeDocument/2006/relationships/worksheet" Target="/xl/worksheets/sheet2.xml" Id="R98fc688e117c4abe" /></Relationships>
</file>

<file path=xl/tables/table1.xml><?xml version="1.0" encoding="utf-8"?>
<x:table xmlns:x="http://schemas.openxmlformats.org/spreadsheetml/2006/main" id="1" name="MasterCurriculum" displayName="MasterCurriculum" ref="A6:J48" headerRowCount="1" totalsRowCount="0" totalsRowShown="0">
  <x:tableColumns count="10">
    <x:tableColumn id="1" name="Level"/>
    <x:tableColumn id="2" name="Stage"/>
    <x:tableColumn id="3" name="Module ID"/>
    <x:tableColumn id="4" name="Module / component"/>
    <x:tableColumn id="5" name="Hours"/>
    <x:tableColumn id="6" name="Learning outcome"/>
    <x:tableColumn id="7" name="Curriculum content"/>
    <x:tableColumn id="8" name="Practical assignment &amp; submission"/>
    <x:tableColumn id="9" name="Assessment evidence"/>
    <x:tableColumn id="10" name="Prerequisites / delivery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e030feaec54c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151" t="str">
        <x:v>VIDEO PRODUCTION  |  CONSOLIDATED CURRICULUM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</x:row>
    <x:row r="2" ht="24" customHeight="1">
      <x:c r="A2" s="151"/>
      <x:c r="B2" s="151"/>
      <x:c r="C2" s="151"/>
      <x:c r="D2" s="151"/>
      <x:c r="E2" s="151"/>
      <x:c r="F2" s="151"/>
      <x:c r="G2" s="151"/>
      <x:c r="H2" s="151"/>
      <x:c r="I2" s="151"/>
      <x:c r="J2" s="151"/>
      <x:c r="K2" s="151"/>
      <x:c r="L2" s="151"/>
    </x:row>
    <x:row r="3" ht="20" customHeight="1">
      <x:c r="A3" s="11" t="str">
        <x:v>Beginner → Intermediate → Advanced  •  A complete tabular learning pathway from basic execution to independent production and specialist leadership.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2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5" ht="9" customHeight="1">
      <x:c r="A5" s="127"/>
      <x:c r="B5" s="127"/>
      <x:c r="C5" s="127"/>
      <x:c r="D5" s="127"/>
      <x:c r="E5" s="127"/>
      <x:c r="F5" s="127"/>
      <x:c r="G5" s="127"/>
      <x:c r="H5" s="127"/>
      <x:c r="I5" s="127"/>
      <x:c r="J5" s="127"/>
      <x:c r="K5" s="127"/>
      <x:c r="L5" s="127"/>
    </x:row>
    <x:row r="6" ht="26" customHeight="1">
      <x:c r="A6" s="158" t="str">
        <x:v>BEGINNER</x:v>
      </x:c>
      <x:c r="B6" s="158"/>
      <x:c r="C6" s="158"/>
      <x:c r="D6" s="158"/>
      <x:c r="E6" s="174" t="str">
        <x:v>INTERMEDIATE</x:v>
      </x:c>
      <x:c r="F6" s="174"/>
      <x:c r="G6" s="174"/>
      <x:c r="H6" s="174"/>
      <x:c r="I6" s="190" t="str">
        <x:v>ADVANCED</x:v>
      </x:c>
      <x:c r="J6" s="190"/>
      <x:c r="K6" s="190"/>
      <x:c r="L6" s="190"/>
    </x:row>
    <x:row r="7" ht="27" customHeight="1">
      <x:c r="A7" s="166" t="n">
        <x:f>E21</x:f>
        <x:v>80</x:v>
      </x:c>
      <x:c r="B7" s="163"/>
      <x:c r="C7" s="163"/>
      <x:c r="D7" s="163"/>
      <x:c r="E7" s="182" t="n">
        <x:f>G21</x:f>
        <x:v>144</x:v>
      </x:c>
      <x:c r="F7" s="179"/>
      <x:c r="G7" s="179"/>
      <x:c r="H7" s="179"/>
      <x:c r="I7" s="198" t="n">
        <x:f>I21</x:f>
        <x:v>240</x:v>
      </x:c>
      <x:c r="J7" s="195"/>
      <x:c r="K7" s="195"/>
      <x:c r="L7" s="195"/>
    </x:row>
    <x:row r="8" ht="27" customHeight="1">
      <x:c r="A8" s="163"/>
      <x:c r="B8" s="163"/>
      <x:c r="C8" s="163"/>
      <x:c r="D8" s="163"/>
      <x:c r="E8" s="179"/>
      <x:c r="F8" s="179"/>
      <x:c r="G8" s="179"/>
      <x:c r="H8" s="179"/>
      <x:c r="I8" s="195"/>
      <x:c r="J8" s="195"/>
      <x:c r="K8" s="195"/>
      <x:c r="L8" s="195"/>
    </x:row>
    <x:row r="9" ht="22" customHeight="1">
      <x:c r="A9" s="169" t="str">
        <x:v>Foundations • simple video
10 suggested weeks</x:v>
      </x:c>
      <x:c r="B9" s="169"/>
      <x:c r="C9" s="169"/>
      <x:c r="D9" s="169"/>
      <x:c r="E9" s="185" t="str">
        <x:v>Independent small productions
16 suggested weeks</x:v>
      </x:c>
      <x:c r="F9" s="185"/>
      <x:c r="G9" s="185"/>
      <x:c r="H9" s="185"/>
      <x:c r="I9" s="201" t="str">
        <x:v>Lead within a selected pathway
24 suggested weeks</x:v>
      </x:c>
      <x:c r="J9" s="201"/>
      <x:c r="K9" s="201"/>
      <x:c r="L9" s="201"/>
    </x:row>
    <x:row r="10" ht="22" customHeight="1">
      <x:c r="A10" s="169"/>
      <x:c r="B10" s="169"/>
      <x:c r="C10" s="169"/>
      <x:c r="D10" s="169"/>
      <x:c r="E10" s="185"/>
      <x:c r="F10" s="185"/>
      <x:c r="G10" s="185"/>
      <x:c r="H10" s="185"/>
      <x:c r="I10" s="201"/>
      <x:c r="J10" s="201"/>
      <x:c r="K10" s="201"/>
      <x:c r="L10" s="201"/>
    </x:row>
    <x:row r="11" ht="22" customHeight="1">
      <x:c r="A11" s="127"/>
      <x:c r="B11" s="127"/>
      <x:c r="C11" s="127"/>
      <x:c r="D11" s="127"/>
      <x:c r="E11" s="127"/>
      <x:c r="F11" s="127"/>
      <x:c r="G11" s="127"/>
      <x:c r="H11" s="127"/>
      <x:c r="I11" s="127"/>
      <x:c r="J11" s="127"/>
      <x:c r="K11" s="127"/>
      <x:c r="L11" s="127"/>
    </x:row>
    <x:row r="12" ht="28" customHeight="1">
      <x:c r="A12" s="204" t="str">
        <x:v>01  |  LEARNING HOURS BY STAGE</x:v>
      </x:c>
      <x:c r="B12" s="204"/>
      <x:c r="C12" s="204"/>
      <x:c r="D12" s="204"/>
      <x:c r="E12" s="204"/>
      <x:c r="F12" s="204"/>
      <x:c r="G12" s="204"/>
      <x:c r="H12" s="204"/>
      <x:c r="I12" s="204"/>
      <x:c r="J12" s="204"/>
      <x:c r="K12" s="204"/>
      <x:c r="L12" s="204"/>
    </x:row>
    <x:row r="13" ht="22" customHeight="1">
      <x:c r="A13" s="127"/>
      <x:c r="B13" s="127"/>
      <x:c r="C13" s="127"/>
      <x:c r="D13" s="127"/>
      <x:c r="E13" s="127"/>
      <x:c r="F13" s="127"/>
      <x:c r="G13" s="127"/>
      <x:c r="H13" s="127"/>
      <x:c r="I13" s="127"/>
      <x:c r="J13" s="127"/>
      <x:c r="K13" s="127"/>
      <x:c r="L13" s="127"/>
    </x:row>
    <x:row r="14" ht="33" customHeight="1">
      <x:c r="A14" s="24" t="str">
        <x:v>Stage / component</x:v>
      </x:c>
      <x:c r="B14" s="24"/>
      <x:c r="C14" s="24"/>
      <x:c r="D14" s="24"/>
      <x:c r="E14" s="140" t="str">
        <x:v>Beginner</x:v>
      </x:c>
      <x:c r="F14" s="140"/>
      <x:c r="G14" s="142" t="str">
        <x:v>Intermediate</x:v>
      </x:c>
      <x:c r="H14" s="142"/>
      <x:c r="I14" s="144" t="str">
        <x:v>Advanced</x:v>
      </x:c>
      <x:c r="J14" s="144"/>
      <x:c r="K14" s="24" t="str">
        <x:v>All levels</x:v>
      </x:c>
      <x:c r="L14" s="24"/>
    </x:row>
    <x:row r="15" ht="29" customHeight="1">
      <x:c r="A15" s="206" t="str">
        <x:v>1. Concepts</x:v>
      </x:c>
      <x:c r="B15" s="206"/>
      <x:c r="C15" s="206"/>
      <x:c r="D15" s="206"/>
      <x:c r="E15" s="218" t="n">
        <x:f>SUMIFS('Master Curriculum'!$E$7:$E$48,'Master Curriculum'!$A$7:$A$48,E$14,'Master Curriculum'!$B$7:$B$48,$A15)</x:f>
        <x:v>8</x:v>
      </x:c>
      <x:c r="F15" s="218"/>
      <x:c r="G15" s="218" t="n">
        <x:f>SUMIFS('Master Curriculum'!$E$7:$E$48,'Master Curriculum'!$A$7:$A$48,G$14,'Master Curriculum'!$B$7:$B$48,$A15)</x:f>
        <x:v>8</x:v>
      </x:c>
      <x:c r="H15" s="218"/>
      <x:c r="I15" s="218" t="n">
        <x:f>SUMIFS('Master Curriculum'!$E$7:$E$48,'Master Curriculum'!$A$7:$A$48,I$14,'Master Curriculum'!$B$7:$B$48,$A15)</x:f>
        <x:v>12</x:v>
      </x:c>
      <x:c r="J15" s="218"/>
      <x:c r="K15" s="218" t="n">
        <x:f>SUM(E15,G15,I15)</x:f>
        <x:v>28</x:v>
      </x:c>
      <x:c r="L15" s="218"/>
    </x:row>
    <x:row r="16" ht="29" customHeight="1">
      <x:c r="A16" s="210" t="str">
        <x:v>2. Preproduction</x:v>
      </x:c>
      <x:c r="B16" s="210"/>
      <x:c r="C16" s="210"/>
      <x:c r="D16" s="210"/>
      <x:c r="E16" s="219" t="n">
        <x:f>SUMIFS('Master Curriculum'!$E$7:$E$48,'Master Curriculum'!$A$7:$A$48,E$14,'Master Curriculum'!$B$7:$B$48,$A16)</x:f>
        <x:v>8</x:v>
      </x:c>
      <x:c r="F16" s="219"/>
      <x:c r="G16" s="219" t="n">
        <x:f>SUMIFS('Master Curriculum'!$E$7:$E$48,'Master Curriculum'!$A$7:$A$48,G$14,'Master Curriculum'!$B$7:$B$48,$A16)</x:f>
        <x:v>14</x:v>
      </x:c>
      <x:c r="H16" s="219"/>
      <x:c r="I16" s="219" t="n">
        <x:f>SUMIFS('Master Curriculum'!$E$7:$E$48,'Master Curriculum'!$A$7:$A$48,I$14,'Master Curriculum'!$B$7:$B$48,$A16)</x:f>
        <x:v>24</x:v>
      </x:c>
      <x:c r="J16" s="219"/>
      <x:c r="K16" s="219" t="n">
        <x:f>SUM(E16,G16,I16)</x:f>
        <x:v>46</x:v>
      </x:c>
      <x:c r="L16" s="219"/>
    </x:row>
    <x:row r="17" ht="29" customHeight="1">
      <x:c r="A17" s="206" t="str">
        <x:v>3. Production</x:v>
      </x:c>
      <x:c r="B17" s="206"/>
      <x:c r="C17" s="206"/>
      <x:c r="D17" s="206"/>
      <x:c r="E17" s="218" t="n">
        <x:f>SUMIFS('Master Curriculum'!$E$7:$E$48,'Master Curriculum'!$A$7:$A$48,E$14,'Master Curriculum'!$B$7:$B$48,$A17)</x:f>
        <x:v>20</x:v>
      </x:c>
      <x:c r="F17" s="218"/>
      <x:c r="G17" s="218" t="n">
        <x:f>SUMIFS('Master Curriculum'!$E$7:$E$48,'Master Curriculum'!$A$7:$A$48,G$14,'Master Curriculum'!$B$7:$B$48,$A17)</x:f>
        <x:v>34</x:v>
      </x:c>
      <x:c r="H17" s="218"/>
      <x:c r="I17" s="218" t="n">
        <x:f>SUMIFS('Master Curriculum'!$E$7:$E$48,'Master Curriculum'!$A$7:$A$48,I$14,'Master Curriculum'!$B$7:$B$48,$A17)</x:f>
        <x:v>48</x:v>
      </x:c>
      <x:c r="J17" s="218"/>
      <x:c r="K17" s="218" t="n">
        <x:f>SUM(E17,G17,I17)</x:f>
        <x:v>102</x:v>
      </x:c>
      <x:c r="L17" s="218"/>
    </x:row>
    <x:row r="18" ht="29" customHeight="1">
      <x:c r="A18" s="210" t="str">
        <x:v>4. Postproduction</x:v>
      </x:c>
      <x:c r="B18" s="210"/>
      <x:c r="C18" s="210"/>
      <x:c r="D18" s="210"/>
      <x:c r="E18" s="219" t="n">
        <x:f>SUMIFS('Master Curriculum'!$E$7:$E$48,'Master Curriculum'!$A$7:$A$48,E$14,'Master Curriculum'!$B$7:$B$48,$A18)</x:f>
        <x:v>20</x:v>
      </x:c>
      <x:c r="F18" s="219"/>
      <x:c r="G18" s="219" t="n">
        <x:f>SUMIFS('Master Curriculum'!$E$7:$E$48,'Master Curriculum'!$A$7:$A$48,G$14,'Master Curriculum'!$B$7:$B$48,$A18)</x:f>
        <x:v>40</x:v>
      </x:c>
      <x:c r="H18" s="219"/>
      <x:c r="I18" s="219" t="n">
        <x:f>SUMIFS('Master Curriculum'!$E$7:$E$48,'Master Curriculum'!$A$7:$A$48,I$14,'Master Curriculum'!$B$7:$B$48,$A18)</x:f>
        <x:v>60</x:v>
      </x:c>
      <x:c r="J18" s="219"/>
      <x:c r="K18" s="219" t="n">
        <x:f>SUM(E18,G18,I18)</x:f>
        <x:v>120</x:v>
      </x:c>
      <x:c r="L18" s="219"/>
    </x:row>
    <x:row r="19" ht="29" customHeight="1">
      <x:c r="A19" s="206" t="str">
        <x:v>5. Selected pathway</x:v>
      </x:c>
      <x:c r="B19" s="206"/>
      <x:c r="C19" s="206"/>
      <x:c r="D19" s="206"/>
      <x:c r="E19" s="218" t="n">
        <x:f>SUMIFS('Master Curriculum'!$E$7:$E$48,'Master Curriculum'!$A$7:$A$48,E$14,'Master Curriculum'!$B$7:$B$48,$A19)</x:f>
        <x:v>8</x:v>
      </x:c>
      <x:c r="F19" s="218"/>
      <x:c r="G19" s="218" t="n">
        <x:f>SUMIFS('Master Curriculum'!$E$7:$E$48,'Master Curriculum'!$A$7:$A$48,G$14,'Master Curriculum'!$B$7:$B$48,$A19)</x:f>
        <x:v>20</x:v>
      </x:c>
      <x:c r="H19" s="218"/>
      <x:c r="I19" s="218" t="n">
        <x:f>SUMIFS('Master Curriculum'!$E$7:$E$48,'Master Curriculum'!$A$7:$A$48,I$14,'Master Curriculum'!$B$7:$B$48,$A19)</x:f>
        <x:v>40</x:v>
      </x:c>
      <x:c r="J19" s="218"/>
      <x:c r="K19" s="218" t="n">
        <x:f>SUM(E19,G19,I19)</x:f>
        <x:v>68</x:v>
      </x:c>
      <x:c r="L19" s="218"/>
    </x:row>
    <x:row r="20" ht="29" customHeight="1">
      <x:c r="A20" s="210" t="str">
        <x:v>6. Final project</x:v>
      </x:c>
      <x:c r="B20" s="210"/>
      <x:c r="C20" s="210"/>
      <x:c r="D20" s="210"/>
      <x:c r="E20" s="219" t="n">
        <x:f>SUMIFS('Master Curriculum'!$E$7:$E$48,'Master Curriculum'!$A$7:$A$48,E$14,'Master Curriculum'!$B$7:$B$48,$A20)</x:f>
        <x:v>16</x:v>
      </x:c>
      <x:c r="F20" s="219"/>
      <x:c r="G20" s="219" t="n">
        <x:f>SUMIFS('Master Curriculum'!$E$7:$E$48,'Master Curriculum'!$A$7:$A$48,G$14,'Master Curriculum'!$B$7:$B$48,$A20)</x:f>
        <x:v>28</x:v>
      </x:c>
      <x:c r="H20" s="219"/>
      <x:c r="I20" s="219" t="n">
        <x:f>SUMIFS('Master Curriculum'!$E$7:$E$48,'Master Curriculum'!$A$7:$A$48,I$14,'Master Curriculum'!$B$7:$B$48,$A20)</x:f>
        <x:v>56</x:v>
      </x:c>
      <x:c r="J20" s="219"/>
      <x:c r="K20" s="219" t="n">
        <x:f>SUM(E20,G20,I20)</x:f>
        <x:v>100</x:v>
      </x:c>
      <x:c r="L20" s="219"/>
    </x:row>
    <x:row r="21" ht="35" customHeight="1">
      <x:c r="A21" s="215" t="str">
        <x:v>TOTAL LEARNING HOURS</x:v>
      </x:c>
      <x:c r="B21" s="215"/>
      <x:c r="C21" s="215"/>
      <x:c r="D21" s="215"/>
      <x:c r="E21" s="224" t="n">
        <x:f>SUM(E15:E20)</x:f>
        <x:v>80</x:v>
      </x:c>
      <x:c r="F21" s="224"/>
      <x:c r="G21" s="224" t="n">
        <x:f>SUM(G15:G20)</x:f>
        <x:v>144</x:v>
      </x:c>
      <x:c r="H21" s="224"/>
      <x:c r="I21" s="224" t="n">
        <x:f>SUM(I15:I20)</x:f>
        <x:v>240</x:v>
      </x:c>
      <x:c r="J21" s="224"/>
      <x:c r="K21" s="224" t="n">
        <x:f>SUM(K15:K20)</x:f>
        <x:v>464</x:v>
      </x:c>
      <x:c r="L21" s="224"/>
    </x:row>
    <x:row r="22" ht="22" customHeight="1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</x:row>
    <x:row r="23" ht="23" customHeight="1">
      <x:c r="A23" s="227" t="str">
        <x:v>Choose one of eight pathways at each level. The master counts each pathway block only once. Learning hours include teaching, practice, shooting, editing, feedback and revision—not lesson viewing alone.</x:v>
      </x:c>
      <x:c r="B23" s="227"/>
      <x:c r="C23" s="227"/>
      <x:c r="D23" s="227"/>
      <x:c r="E23" s="227"/>
      <x:c r="F23" s="227"/>
      <x:c r="G23" s="227"/>
      <x:c r="H23" s="227"/>
      <x:c r="I23" s="227"/>
      <x:c r="J23" s="227"/>
      <x:c r="K23" s="227"/>
      <x:c r="L23" s="227"/>
    </x:row>
    <x:row r="24" ht="23" customHeight="1">
      <x:c r="A24" s="227"/>
      <x:c r="B24" s="227"/>
      <x:c r="C24" s="227"/>
      <x:c r="D24" s="227"/>
      <x:c r="E24" s="227"/>
      <x:c r="F24" s="227"/>
      <x:c r="G24" s="227"/>
      <x:c r="H24" s="227"/>
      <x:c r="I24" s="227"/>
      <x:c r="J24" s="227"/>
      <x:c r="K24" s="227"/>
      <x:c r="L24" s="227"/>
    </x:row>
    <x:row r="25" ht="22" customHeight="1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</x:row>
    <x:row r="26" ht="28" customHeight="1">
      <x:c r="A26" s="204" t="str">
        <x:v>02  |  SUGGESTED STUDY RHYTHM</x:v>
      </x:c>
      <x:c r="B26" s="204"/>
      <x:c r="C26" s="204"/>
      <x:c r="D26" s="204"/>
      <x:c r="E26" s="204"/>
      <x:c r="F26" s="204"/>
      <x:c r="G26" s="204"/>
      <x:c r="H26" s="204"/>
      <x:c r="I26" s="204"/>
      <x:c r="J26" s="204"/>
      <x:c r="K26" s="204"/>
      <x:c r="L26" s="204"/>
    </x:row>
    <x:row r="27" ht="22" customHeight="1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</x:row>
    <x:row r="28" ht="33" customHeight="1">
      <x:c r="A28" s="24" t="str">
        <x:v>Level</x:v>
      </x:c>
      <x:c r="B28" s="24"/>
      <x:c r="C28" s="24"/>
      <x:c r="D28" s="24"/>
      <x:c r="E28" s="24" t="str">
        <x:v>Weeks</x:v>
      </x:c>
      <x:c r="F28" s="24"/>
      <x:c r="G28" s="24" t="str">
        <x:v>Hours / week</x:v>
      </x:c>
      <x:c r="H28" s="24"/>
      <x:c r="I28" s="24" t="str">
        <x:v>Total hours</x:v>
      </x:c>
      <x:c r="J28" s="24"/>
      <x:c r="K28" s="24" t="str">
        <x:v>Plan check</x:v>
      </x:c>
      <x:c r="L28" s="24"/>
    </x:row>
    <x:row r="29" ht="32" customHeight="1">
      <x:c r="A29" s="230" t="str">
        <x:v>Beginner</x:v>
      </x:c>
      <x:c r="B29" s="230"/>
      <x:c r="C29" s="230"/>
      <x:c r="D29" s="230"/>
      <x:c r="E29" s="234" t="n">
        <x:v>10</x:v>
      </x:c>
      <x:c r="F29" s="232"/>
      <x:c r="G29" s="248" t="n">
        <x:f>I29/E29</x:f>
        <x:v>8</x:v>
      </x:c>
      <x:c r="H29" s="248"/>
      <x:c r="I29" s="254" t="n">
        <x:f>E21</x:f>
        <x:v>80</x:v>
      </x:c>
      <x:c r="J29" s="254"/>
      <x:c r="K29" s="232" t="str">
        <x:f>IF(AND(E29&gt;0,I29=E29*G29),"OK","REVIEW")</x:f>
        <x:v>OK</x:v>
      </x:c>
      <x:c r="L29" s="232"/>
    </x:row>
    <x:row r="30" ht="32" customHeight="1">
      <x:c r="A30" s="236" t="str">
        <x:v>Intermediate</x:v>
      </x:c>
      <x:c r="B30" s="236"/>
      <x:c r="C30" s="236"/>
      <x:c r="D30" s="236"/>
      <x:c r="E30" s="240" t="n">
        <x:v>16</x:v>
      </x:c>
      <x:c r="F30" s="238"/>
      <x:c r="G30" s="249" t="n">
        <x:f>I30/E30</x:f>
        <x:v>9</x:v>
      </x:c>
      <x:c r="H30" s="249"/>
      <x:c r="I30" s="255" t="n">
        <x:f>G21</x:f>
        <x:v>144</x:v>
      </x:c>
      <x:c r="J30" s="255"/>
      <x:c r="K30" s="238" t="str">
        <x:f>IF(AND(E30&gt;0,I30=E30*G30),"OK","REVIEW")</x:f>
        <x:v>OK</x:v>
      </x:c>
      <x:c r="L30" s="238"/>
    </x:row>
    <x:row r="31" ht="32" customHeight="1">
      <x:c r="A31" s="242" t="str">
        <x:v>Advanced</x:v>
      </x:c>
      <x:c r="B31" s="242"/>
      <x:c r="C31" s="242"/>
      <x:c r="D31" s="242"/>
      <x:c r="E31" s="246" t="n">
        <x:v>24</x:v>
      </x:c>
      <x:c r="F31" s="244"/>
      <x:c r="G31" s="250" t="n">
        <x:f>I31/E31</x:f>
        <x:v>10</x:v>
      </x:c>
      <x:c r="H31" s="250"/>
      <x:c r="I31" s="256" t="n">
        <x:f>I21</x:f>
        <x:v>240</x:v>
      </x:c>
      <x:c r="J31" s="256"/>
      <x:c r="K31" s="244" t="str">
        <x:f>IF(AND(E31&gt;0,I31=E31*G31),"OK","REVIEW")</x:f>
        <x:v>OK</x:v>
      </x:c>
      <x:c r="L31" s="244"/>
    </x:row>
    <x:row r="32" ht="22" customHeight="1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</x:row>
    <x:row r="33" ht="24" customHeight="1">
      <x:c r="A33" s="227" t="str">
        <x:v>Blue numeric inputs: module hours and suggested weeks. Green totals are calculated. Change hours on Master Curriculum; stage totals, programme totals and hours per week update automatically.</x:v>
      </x:c>
      <x:c r="B33" s="227"/>
      <x:c r="C33" s="227"/>
      <x:c r="D33" s="227"/>
      <x:c r="E33" s="227"/>
      <x:c r="F33" s="227"/>
      <x:c r="G33" s="227"/>
      <x:c r="H33" s="227"/>
      <x:c r="I33" s="227"/>
      <x:c r="J33" s="227"/>
      <x:c r="K33" s="227"/>
      <x:c r="L33" s="227"/>
    </x:row>
    <x:row r="34" ht="24" customHeight="1">
      <x:c r="A34" s="227"/>
      <x:c r="B34" s="227"/>
      <x:c r="C34" s="227"/>
      <x:c r="D34" s="227"/>
      <x:c r="E34" s="227"/>
      <x:c r="F34" s="227"/>
      <x:c r="G34" s="227"/>
      <x:c r="H34" s="227"/>
      <x:c r="I34" s="227"/>
      <x:c r="J34" s="227"/>
      <x:c r="K34" s="227"/>
      <x:c r="L34" s="227"/>
    </x:row>
    <x:row r="35" ht="22" customHeight="1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</x:row>
    <x:row r="36" ht="28" customHeight="1">
      <x:c r="A36" s="204" t="str">
        <x:v>03  |  WORKBOOK DIRECTORY</x:v>
      </x:c>
      <x:c r="B36" s="204"/>
      <x:c r="C36" s="204"/>
      <x:c r="D36" s="204"/>
      <x:c r="E36" s="204"/>
      <x:c r="F36" s="204"/>
      <x:c r="G36" s="204"/>
      <x:c r="H36" s="204"/>
      <x:c r="I36" s="204"/>
      <x:c r="J36" s="204"/>
      <x:c r="K36" s="204"/>
      <x:c r="L36" s="204"/>
    </x:row>
    <x:row r="37" ht="22" customHeight="1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</x:row>
    <x:row r="38" ht="33" customHeight="1">
      <x:c r="A38" s="24" t="str">
        <x:v>Tab</x:v>
      </x:c>
      <x:c r="B38" s="24"/>
      <x:c r="C38" s="24"/>
      <x:c r="D38" s="24"/>
      <x:c r="E38" s="24" t="str">
        <x:v>Contents / how to use</x:v>
      </x:c>
      <x:c r="F38" s="24"/>
      <x:c r="G38" s="24"/>
      <x:c r="H38" s="24"/>
      <x:c r="I38" s="24"/>
      <x:c r="J38" s="24"/>
      <x:c r="K38" s="24"/>
      <x:c r="L38" s="24"/>
    </x:row>
    <x:row r="39" ht="43" customHeight="1">
      <x:c r="A39" s="260" t="str">
        <x:v>Overview</x:v>
      </x:c>
      <x:c r="B39" s="127"/>
      <x:c r="C39" s="127"/>
      <x:c r="D39" s="127"/>
      <x:c r="E39" s="127" t="str">
        <x:v>Programme summary, calculated learning hours by stage and level, and suggested study schedules.</x:v>
      </x:c>
      <x:c r="F39" s="127"/>
      <x:c r="G39" s="127"/>
      <x:c r="H39" s="127"/>
      <x:c r="I39" s="127"/>
      <x:c r="J39" s="127"/>
      <x:c r="K39" s="127"/>
      <x:c r="L39" s="127"/>
    </x:row>
    <x:row r="40" ht="43" customHeight="1">
      <x:c r="A40" s="262" t="str">
        <x:v>Master Curriculum</x:v>
      </x:c>
      <x:c r="B40" s="135"/>
      <x:c r="C40" s="135"/>
      <x:c r="D40" s="135"/>
      <x:c r="E40" s="135" t="str">
        <x:v>Main consolidated sheet: 42 components across all levels, with outcomes, topics, assignments, evidence, prerequisites and hours.</x:v>
      </x:c>
      <x:c r="F40" s="135"/>
      <x:c r="G40" s="135"/>
      <x:c r="H40" s="135"/>
      <x:c r="I40" s="135"/>
      <x:c r="J40" s="135"/>
      <x:c r="K40" s="135"/>
      <x:c r="L40" s="135"/>
    </x:row>
    <x:row r="41" ht="18" customHeight="1">
      <x:c r="A41" s="265"/>
      <x:c r="B41" s="266"/>
      <x:c r="C41" s="266"/>
      <x:c r="D41" s="266"/>
      <x:c r="E41" s="266"/>
      <x:c r="F41" s="266"/>
      <x:c r="G41" s="266"/>
      <x:c r="H41" s="266"/>
      <x:c r="I41" s="266"/>
      <x:c r="J41" s="266"/>
      <x:c r="K41" s="266"/>
      <x:c r="L41" s="266"/>
    </x:row>
    <x:row r="42" ht="27" customHeight="1">
      <x:c r="A42" s="270" t="str">
        <x:v>Programme-design proposal • Completion depends on demonstrated competency, not equipment cost, views, subscribers or revenue. Advanced completion is specific to the assessed scope and chosen pathway; it is not automatic readiness for every high-budget production role.</x:v>
      </x:c>
      <x:c r="B42" s="271"/>
      <x:c r="C42" s="271"/>
      <x:c r="D42" s="271"/>
      <x:c r="E42" s="271"/>
      <x:c r="F42" s="271"/>
      <x:c r="G42" s="271"/>
      <x:c r="H42" s="271"/>
      <x:c r="I42" s="271"/>
      <x:c r="J42" s="271"/>
      <x:c r="K42" s="271"/>
      <x:c r="L42" s="271"/>
    </x:row>
    <x:row r="43" ht="27" customHeight="1">
      <x:c r="A43" s="270"/>
      <x:c r="B43" s="271"/>
      <x:c r="C43" s="271"/>
      <x:c r="D43" s="271"/>
      <x:c r="E43" s="271"/>
      <x:c r="F43" s="271"/>
      <x:c r="G43" s="271"/>
      <x:c r="H43" s="271"/>
      <x:c r="I43" s="271"/>
      <x:c r="J43" s="271"/>
      <x:c r="K43" s="271"/>
      <x:c r="L43" s="271"/>
    </x:row>
    <x:row r="44" ht="18" customHeight="1">
      <x:c r="A44" s="265"/>
      <x:c r="B44" s="266"/>
      <x:c r="C44" s="266"/>
      <x:c r="D44" s="266"/>
      <x:c r="E44" s="266"/>
      <x:c r="F44" s="266"/>
      <x:c r="G44" s="266"/>
      <x:c r="H44" s="266"/>
      <x:c r="I44" s="266"/>
      <x:c r="J44" s="266"/>
      <x:c r="K44" s="266"/>
      <x:c r="L44" s="266"/>
    </x:row>
    <x:row r="45" ht="18" customHeight="1">
      <x:c r="A45" s="265"/>
      <x:c r="B45" s="266"/>
      <x:c r="C45" s="266"/>
      <x:c r="D45" s="266"/>
      <x:c r="E45" s="266"/>
      <x:c r="F45" s="266"/>
      <x:c r="G45" s="266"/>
      <x:c r="H45" s="266"/>
      <x:c r="I45" s="266"/>
      <x:c r="J45" s="266"/>
      <x:c r="K45" s="266"/>
      <x:c r="L45" s="266"/>
    </x:row>
    <x:row r="46" ht="18" customHeight="1">
      <x:c r="A46" s="266"/>
      <x:c r="B46" s="266"/>
      <x:c r="C46" s="266"/>
      <x:c r="D46" s="266"/>
      <x:c r="E46" s="266"/>
      <x:c r="F46" s="266"/>
      <x:c r="G46" s="266"/>
      <x:c r="H46" s="266"/>
      <x:c r="I46" s="266"/>
      <x:c r="J46" s="266"/>
      <x:c r="K46" s="266"/>
      <x:c r="L46" s="266"/>
    </x:row>
    <x:row r="47" ht="18" customHeight="1">
      <x:c r="A47" s="267"/>
      <x:c r="B47" s="267"/>
      <x:c r="C47" s="267"/>
      <x:c r="D47" s="267"/>
      <x:c r="E47" s="267"/>
      <x:c r="F47" s="267"/>
      <x:c r="G47" s="267"/>
      <x:c r="H47" s="267"/>
      <x:c r="I47" s="267"/>
      <x:c r="J47" s="267"/>
      <x:c r="K47" s="267"/>
      <x:c r="L47" s="267"/>
    </x:row>
    <x:row r="48" ht="18" customHeight="1">
      <x:c r="A48" s="267"/>
      <x:c r="B48" s="267"/>
      <x:c r="C48" s="267"/>
      <x:c r="D48" s="267"/>
      <x:c r="E48" s="267"/>
      <x:c r="F48" s="267"/>
      <x:c r="G48" s="267"/>
      <x:c r="H48" s="267"/>
      <x:c r="I48" s="267"/>
      <x:c r="J48" s="267"/>
      <x:c r="K48" s="267"/>
      <x:c r="L48" s="267"/>
    </x:row>
    <x:row r="49" ht="22" customHeight="1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</x:row>
  </x:sheetData>
  <x:mergeCells>
    <x:mergeCell ref="A1:L2"/>
    <x:mergeCell ref="A3:L4"/>
    <x:mergeCell ref="A6:D6"/>
    <x:mergeCell ref="A7:D8"/>
    <x:mergeCell ref="A9:D10"/>
    <x:mergeCell ref="E6:H6"/>
    <x:mergeCell ref="E7:H8"/>
    <x:mergeCell ref="E9:H10"/>
    <x:mergeCell ref="I6:L6"/>
    <x:mergeCell ref="I7:L8"/>
    <x:mergeCell ref="I9:L10"/>
    <x:mergeCell ref="A12:L12"/>
    <x:mergeCell ref="A14:D14"/>
    <x:mergeCell ref="E14:F14"/>
    <x:mergeCell ref="G14:H14"/>
    <x:mergeCell ref="I14:J14"/>
    <x:mergeCell ref="K14:L14"/>
    <x:mergeCell ref="A15:D15"/>
    <x:mergeCell ref="E15:F15"/>
    <x:mergeCell ref="G15:H15"/>
    <x:mergeCell ref="I15:J15"/>
    <x:mergeCell ref="K15:L15"/>
    <x:mergeCell ref="A16:D16"/>
    <x:mergeCell ref="E16:F16"/>
    <x:mergeCell ref="G16:H16"/>
    <x:mergeCell ref="I16:J16"/>
    <x:mergeCell ref="K16:L16"/>
    <x:mergeCell ref="A17:D17"/>
    <x:mergeCell ref="E17:F17"/>
    <x:mergeCell ref="G17:H17"/>
    <x:mergeCell ref="I17:J17"/>
    <x:mergeCell ref="K17:L17"/>
    <x:mergeCell ref="A18:D18"/>
    <x:mergeCell ref="E18:F18"/>
    <x:mergeCell ref="G18:H18"/>
    <x:mergeCell ref="I18:J18"/>
    <x:mergeCell ref="K18:L18"/>
    <x:mergeCell ref="A19:D19"/>
    <x:mergeCell ref="E19:F19"/>
    <x:mergeCell ref="G19:H19"/>
    <x:mergeCell ref="I19:J19"/>
    <x:mergeCell ref="K19:L19"/>
    <x:mergeCell ref="A20:D20"/>
    <x:mergeCell ref="E20:F20"/>
    <x:mergeCell ref="G20:H20"/>
    <x:mergeCell ref="I20:J20"/>
    <x:mergeCell ref="K20:L20"/>
    <x:mergeCell ref="A21:D21"/>
    <x:mergeCell ref="E21:F21"/>
    <x:mergeCell ref="G21:H21"/>
    <x:mergeCell ref="I21:J21"/>
    <x:mergeCell ref="K21:L21"/>
    <x:mergeCell ref="A23:L24"/>
    <x:mergeCell ref="A26:L26"/>
    <x:mergeCell ref="A28:D28"/>
    <x:mergeCell ref="E28:F28"/>
    <x:mergeCell ref="G28:H28"/>
    <x:mergeCell ref="I28:J28"/>
    <x:mergeCell ref="K28:L28"/>
    <x:mergeCell ref="A29:D29"/>
    <x:mergeCell ref="E29:F29"/>
    <x:mergeCell ref="G29:H29"/>
    <x:mergeCell ref="I29:J29"/>
    <x:mergeCell ref="K29:L29"/>
    <x:mergeCell ref="A30:D30"/>
    <x:mergeCell ref="E30:F30"/>
    <x:mergeCell ref="G30:H30"/>
    <x:mergeCell ref="I30:J30"/>
    <x:mergeCell ref="K30:L30"/>
    <x:mergeCell ref="A31:D31"/>
    <x:mergeCell ref="E31:F31"/>
    <x:mergeCell ref="G31:H31"/>
    <x:mergeCell ref="I31:J31"/>
    <x:mergeCell ref="K31:L31"/>
    <x:mergeCell ref="A33:L34"/>
    <x:mergeCell ref="A36:L36"/>
    <x:mergeCell ref="A38:D38"/>
    <x:mergeCell ref="E38:L38"/>
    <x:mergeCell ref="A39:D39"/>
    <x:mergeCell ref="E39:L39"/>
    <x:mergeCell ref="A40:D40"/>
    <x:mergeCell ref="E40:L40"/>
    <x:mergeCell ref="A42:L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1" hidden="0" customWidth="1"/>
    <x:col min="4" max="4" width="35" hidden="0" customWidth="1"/>
    <x:col min="5" max="5" width="9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37" hidden="0" customWidth="1"/>
  </x:cols>
  <x:sheetData>
    <x:row r="1" ht="24" customHeight="1">
      <x:c r="A1" s="4" t="str">
        <x:v>VIDEO PRODUCTION  |  MASTER CURRICULUM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0" customHeight="1">
      <x:c r="A3" s="11" t="str">
        <x:v>Beginner • Intermediate • Advanced  |  36 core modules + 3 selected-pathway blocks + 3 final projects. Filter by level or stage. Hours count one selected pathway per level.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2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9" customHeight="1"/>
    <x:row r="6" ht="33" customHeight="1">
      <x:c r="A6" s="24" t="str">
        <x:v>Level</x:v>
      </x:c>
      <x:c r="B6" s="24" t="str">
        <x:v>Stage</x:v>
      </x:c>
      <x:c r="C6" s="24" t="str">
        <x:v>Module ID</x:v>
      </x:c>
      <x:c r="D6" s="24" t="str">
        <x:v>Module / component</x:v>
      </x:c>
      <x:c r="E6" s="24" t="str">
        <x:v>Hours</x:v>
      </x:c>
      <x:c r="F6" s="24" t="str">
        <x:v>Learning outcome</x:v>
      </x:c>
      <x:c r="G6" s="24" t="str">
        <x:v>Curriculum content</x:v>
      </x:c>
      <x:c r="H6" s="24" t="str">
        <x:v>Practical assignment &amp; submission</x:v>
      </x:c>
      <x:c r="I6" s="24" t="str">
        <x:v>Assessment evidence</x:v>
      </x:c>
      <x:c r="J6" s="24" t="str">
        <x:v>Prerequisites / delivery notes</x:v>
      </x:c>
    </x:row>
    <x:row r="7" ht="96" customHeight="1">
      <x:c r="A7" s="32" t="str">
        <x:v>Beginner</x:v>
      </x:c>
      <x:c r="B7" s="28" t="str">
        <x:v>1. Concepts</x:v>
      </x:c>
      <x:c r="C7" s="52" t="str">
        <x:v>B01</x:v>
      </x:c>
      <x:c r="D7" s="52" t="str">
        <x:v>Understanding video and communicating through images</x:v>
      </x:c>
      <x:c r="E7" s="56" t="n">
        <x:v>8</x:v>
      </x:c>
      <x:c r="F7" s="28" t="str">
        <x:v>Explain a simple video's purpose and arrange images into an understandable sequence.</x:v>
      </x:c>
      <x:c r="G7" s="28" t="str">
        <x:v>Production stages; basic crew roles; shot, scene and sequence; subject, action and message; intended audience; image–sound relationships; examples from the eight genres. Camera history is brief context, not a major unit.</x:v>
      </x:c>
      <x:c r="H7" s="28" t="str">
        <x:v>Analyse two short videos. Arrange six photographs or recorded shots to communicate an activity. Submit the sequence and a short statement of purpose.</x:v>
      </x:c>
      <x:c r="I7" s="28" t="str">
        <x:v>A viewer can describe what happens. The learner explains the message and the purpose of the image sequence.</x:v>
      </x:c>
      <x:c r="J7" s="28" t="str">
        <x:v>Entry: no previous production experience. Introduce file handling and available equipment. Use demonstration and guided practice.</x:v>
      </x:c>
    </x:row>
    <x:row r="8" ht="96" customHeight="1">
      <x:c r="A8" s="32" t="str">
        <x:v>Beginner</x:v>
      </x:c>
      <x:c r="B8" s="34" t="str">
        <x:v>2. Preproduction</x:v>
      </x:c>
      <x:c r="C8" s="53" t="str">
        <x:v>B02</x:v>
      </x:c>
      <x:c r="D8" s="53" t="str">
        <x:v>From an idea to a simple story plan</x:v>
      </x:c>
      <x:c r="E8" s="57" t="n">
        <x:v>4</x:v>
      </x:c>
      <x:c r="F8" s="34" t="str">
        <x:v>Convert a manageable idea into a short outline that can be filmed.</x:v>
      </x:c>
      <x:c r="G8" s="34" t="str">
        <x:v>Subject choice; one main message; intended viewer; opening, development and ending; A-roll and B-roll; simple scripts; interview prompts; basic reference gathering. A one-page plan is sufficient.</x:v>
      </x:c>
      <x:c r="H8" s="34" t="str">
        <x:v>Prepare the activity video's outline: subject, message, duration, required images and any speech. Submit the one-page story plan.</x:v>
      </x:c>
      <x:c r="I8" s="34" t="str">
        <x:v>The plan describes what viewers will see and understand, rather than only naming a topic such as food or travel.</x:v>
      </x:c>
      <x:c r="J8" s="34" t="str">
        <x:v>After B01. Keep the scope simple; do not require screenplay-format mastery.</x:v>
      </x:c>
    </x:row>
    <x:row r="9" ht="96" customHeight="1">
      <x:c r="A9" s="32" t="str">
        <x:v>Beginner</x:v>
      </x:c>
      <x:c r="B9" s="28" t="str">
        <x:v>2. Preproduction</x:v>
      </x:c>
      <x:c r="C9" s="52" t="str">
        <x:v>B03</x:v>
      </x:c>
      <x:c r="D9" s="52" t="str">
        <x:v>Shot lists, preparation and responsible filming</x:v>
      </x:c>
      <x:c r="E9" s="56" t="n">
        <x:v>4</x:v>
      </x:c>
      <x:c r="F9" s="28" t="str">
        <x:v>Prepare for a small shoot using a checklist and a simple shot plan.</x:v>
      </x:c>
      <x:c r="G9" s="28" t="str">
        <x:v>Shot lists; rough storyboards; location light and noise checks; participants; batteries and storage; simple scheduling; recording and asset-use permissions; safe equipment placement; respectful behaviour; media copying and backup.</x:v>
      </x:c>
      <x:c r="H9" s="28" t="str">
        <x:v>Create a 6–10-shot plan, equipment checklist, schedule and permission record. Rehearse copying and checking a test recording before principal filming.</x:v>
      </x:c>
      <x:c r="I9" s="28" t="str">
        <x:v>The learner is prepared, has permission for the planned activity and explains how recorded media will be protected.</x:v>
      </x:c>
      <x:c r="J9" s="28" t="str">
        <x:v>After B02. Teach backup before the first substantial shoot, not only during editing.</x:v>
      </x:c>
    </x:row>
    <x:row r="10" ht="96" customHeight="1">
      <x:c r="A10" s="32" t="str">
        <x:v>Beginner</x:v>
      </x:c>
      <x:c r="B10" s="34" t="str">
        <x:v>3. Production</x:v>
      </x:c>
      <x:c r="C10" s="53" t="str">
        <x:v>B04</x:v>
      </x:c>
      <x:c r="D10" s="53" t="str">
        <x:v>Camera operation and usable image capture</x:v>
      </x:c>
      <x:c r="E10" s="57" t="n">
        <x:v>6</x:v>
      </x:c>
      <x:c r="F10" s="34" t="str">
        <x:v>Record a stable, appropriately exposed shot with the intended subject in focus.</x:v>
      </x:c>
      <x:c r="G10" s="34" t="str">
        <x:v>Handling; recording and playback; operational resolution and frame-rate choices; aperture, shutter speed and ISO; exposure adjustment; focus; white balance; focal length; basic camera support.</x:v>
      </x:c>
      <x:c r="H10" s="34" t="str">
        <x:v>Record a subject in a controlled interior, an exterior and in movement. Review each recording and correct an obvious issue. Submit original tests and brief setting notes.</x:v>
      </x:c>
      <x:c r="I10" s="34" t="str">
        <x:v>The learner recognises missed focus, unsuitable exposure or instability and improves the recording through an appropriate adjustment.</x:v>
      </x:c>
      <x:c r="J10" s="34" t="str">
        <x:v>After B03. Use controls supported by available equipment; identical hardware is not required.</x:v>
      </x:c>
    </x:row>
    <x:row r="11" ht="96" customHeight="1">
      <x:c r="A11" s="32" t="str">
        <x:v>Beginner</x:v>
      </x:c>
      <x:c r="B11" s="28" t="str">
        <x:v>3. Production</x:v>
      </x:c>
      <x:c r="C11" s="52" t="str">
        <x:v>B05</x:v>
      </x:c>
      <x:c r="D11" s="52" t="str">
        <x:v>Composition and filming an editable sequence</x:v>
      </x:c>
      <x:c r="E11" s="56" t="n">
        <x:v>5</x:v>
      </x:c>
      <x:c r="F11" s="28" t="str">
        <x:v>Capture a short activity using a useful variety of shots.</x:v>
      </x:c>
      <x:c r="G11" s="28" t="str">
        <x:v>Wide, medium and close shots; framing; headroom and looking space; camera height; background distractions; basic screen direction; cutaways; simple pans and tilts. Prioritise intentional static shots.</x:v>
      </x:c>
      <x:c r="H11" s="28" t="str">
        <x:v>Capture an activity in 5–8 shots, including an establishing view, action and a meaningful detail. Submit the original coverage and shot list.</x:v>
      </x:c>
      <x:c r="I11" s="28" t="str">
        <x:v>The activity can be followed; essential actions are covered; framing and unintended movement do not repeatedly distract.</x:v>
      </x:c>
      <x:c r="J11" s="28" t="str">
        <x:v>After B04. Coverage quality matters more than clip quantity or elaborate movement.</x:v>
      </x:c>
    </x:row>
    <x:row r="12" ht="96" customHeight="1">
      <x:c r="A12" s="32" t="str">
        <x:v>Beginner</x:v>
      </x:c>
      <x:c r="B12" s="34" t="str">
        <x:v>3. Production</x:v>
      </x:c>
      <x:c r="C12" s="53" t="str">
        <x:v>B06</x:v>
      </x:c>
      <x:c r="D12" s="53" t="str">
        <x:v>Working with available light</x:v>
      </x:c>
      <x:c r="E12" s="57" t="n">
        <x:v>4</x:v>
      </x:c>
      <x:c r="F12" s="34" t="str">
        <x:v>Improve a subject's visibility and appearance through position or a simple lighting adjustment.</x:v>
      </x:c>
      <x:c r="G12" s="34" t="str">
        <x:v>Direction; hard and soft light; window light; shade; backlighting; basic bounce; background separation; practical indoor/outdoor choices; safe use of a small light where available.</x:v>
      </x:c>
      <x:c r="H12" s="34" t="str">
        <x:v>Record an initially unsuitable setup, then improve it by moving the subject or camera, or adjusting light. Submit before-and-after recordings with an explanation.</x:v>
      </x:c>
      <x:c r="I12" s="34" t="str">
        <x:v>The learner demonstrates a visible improvement and identifies the change responsible.</x:v>
      </x:c>
      <x:c r="J12" s="34" t="str">
        <x:v>After B04. Complex lighting diagrams and elaborate equipment setups are outside the required scope.</x:v>
      </x:c>
    </x:row>
    <x:row r="13" ht="96" customHeight="1">
      <x:c r="A13" s="32" t="str">
        <x:v>Beginner</x:v>
      </x:c>
      <x:c r="B13" s="28" t="str">
        <x:v>3. Production</x:v>
      </x:c>
      <x:c r="C13" s="52" t="str">
        <x:v>B07</x:v>
      </x:c>
      <x:c r="D13" s="52" t="str">
        <x:v>Recording clear sound and guiding a participant</x:v>
      </x:c>
      <x:c r="E13" s="56" t="n">
        <x:v>5</x:v>
      </x:c>
      <x:c r="F13" s="28" t="str">
        <x:v>Record understandable speech and guide a participant through a short recording.</x:v>
      </x:c>
      <x:c r="G13" s="28" t="str">
        <x:v>Microphone proximity and placement; basic recording levels; headphone monitoring; background and handling noise; playback checks; room tone; clear questions; participant position, eyeline and start cues.</x:v>
      </x:c>
      <x:c r="H13" s="28" t="str">
        <x:v>Record a 20–30-second introduction or answer and useful environmental sound. Listen, diagnose a problem and re-record when necessary. Submit both versions where applicable.</x:v>
      </x:c>
      <x:c r="I13" s="28" t="str">
        <x:v>Speech is understandable, recordings are checked before the session ends and the participant receives clear, respectful direction.</x:v>
      </x:c>
      <x:c r="J13" s="28" t="str">
        <x:v>After B03. Sound competence requires original recording evidence, not only supplied audio.</x:v>
      </x:c>
    </x:row>
    <x:row r="14" ht="96" customHeight="1">
      <x:c r="A14" s="32" t="str">
        <x:v>Beginner</x:v>
      </x:c>
      <x:c r="B14" s="34" t="str">
        <x:v>4. Postproduction</x:v>
      </x:c>
      <x:c r="C14" s="53" t="str">
        <x:v>B08</x:v>
      </x:c>
      <x:c r="D14" s="53" t="str">
        <x:v>Organising footage and starting an editing project</x:v>
      </x:c>
      <x:c r="E14" s="57" t="n">
        <x:v>3</x:v>
      </x:c>
      <x:c r="F14" s="34" t="str">
        <x:v>Create an organised editing project without losing track of source files.</x:v>
      </x:c>
      <x:c r="G14" s="34" t="str">
        <x:v>Copying and checking media; folder structures; preserving originals; importing; bins; project naming; version saving; locating the current edit; reinforcement of the pre-shoot backup workflow.</x:v>
      </x:c>
      <x:c r="H14" s="34" t="str">
        <x:v>Organise activity-video footage, create the editing project, close it and reopen it. Submit the project and folder structure.</x:v>
      </x:c>
      <x:c r="I14" s="34" t="str">
        <x:v>Sources remain accessible, the latest project is identifiable and a requested clip can be found without random searching.</x:v>
      </x:c>
      <x:c r="J14" s="34" t="str">
        <x:v>After capture exercises B04–B07; backup practice begins in B03. Use Premiere Pro as the common teaching application.</x:v>
      </x:c>
    </x:row>
    <x:row r="15" ht="96" customHeight="1">
      <x:c r="A15" s="32" t="str">
        <x:v>Beginner</x:v>
      </x:c>
      <x:c r="B15" s="28" t="str">
        <x:v>4. Postproduction</x:v>
      </x:c>
      <x:c r="C15" s="52" t="str">
        <x:v>B09</x:v>
      </x:c>
      <x:c r="D15" s="52" t="str">
        <x:v>Building a clear first edit</x:v>
      </x:c>
      <x:c r="E15" s="56" t="n">
        <x:v>7</x:v>
      </x:c>
      <x:c r="F15" s="28" t="str">
        <x:v>Assemble a sequence with an understandable beginning, development and ending.</x:v>
      </x:c>
      <x:c r="G15" s="28" t="str">
        <x:v>Editing interface; selects; in/out points; timeline placement; trimming; removing mistakes; arranging action; simple cutaways; basic pacing. Start with straight cuts; transitions must serve communication.</x:v>
      </x:c>
      <x:c r="H15" s="28" t="str">
        <x:v>Assemble the 45–60-second activity video. Screen it for a peer and revise a confusing or unnecessarily long section. Submit first and revised cuts.</x:v>
      </x:c>
      <x:c r="I15" s="28" t="str">
        <x:v>The viewer follows the activity, important information is retained and the revision makes an identifiable improvement.</x:v>
      </x:c>
      <x:c r="J15" s="28" t="str">
        <x:v>After B05 and B08. Judge clarity before effects.</x:v>
      </x:c>
    </x:row>
    <x:row r="16" ht="96" customHeight="1">
      <x:c r="A16" s="32" t="str">
        <x:v>Beginner</x:v>
      </x:c>
      <x:c r="B16" s="34" t="str">
        <x:v>4. Postproduction</x:v>
      </x:c>
      <x:c r="C16" s="53" t="str">
        <x:v>B10</x:v>
      </x:c>
      <x:c r="D16" s="53" t="str">
        <x:v>Basic dialogue, music and sound editing</x:v>
      </x:c>
      <x:c r="E16" s="57" t="n">
        <x:v>4</x:v>
      </x:c>
      <x:c r="F16" s="34" t="str">
        <x:v>Balance simple sound elements so essential information remains audible.</x:v>
      </x:c>
      <x:c r="G16" s="34" t="str">
        <x:v>Audio tracks; trimming; fades; smooth starts and stops; speech–music balance; useful natural sound; approved or appropriately licensed material. Advanced repair, equalisation and compression are not required.</x:v>
      </x:c>
      <x:c r="H16" s="34" t="str">
        <x:v>Add speech or a short voiceover, environmental sound and suitable music where useful. Submit an audio-finished activity-video version and an asset-use record.</x:v>
      </x:c>
      <x:c r="I16" s="34" t="str">
        <x:v>Music does not obscure essential speech; changes are not unintentionally distracting; the learner explains each sound element's role.</x:v>
      </x:c>
      <x:c r="J16" s="34" t="str">
        <x:v>After B07 and B09. A separate speech exercise is acceptable when dialogue does not suit the main film.</x:v>
      </x:c>
    </x:row>
    <x:row r="17" ht="96" customHeight="1">
      <x:c r="A17" s="32" t="str">
        <x:v>Beginner</x:v>
      </x:c>
      <x:c r="B17" s="28" t="str">
        <x:v>4. Postproduction</x:v>
      </x:c>
      <x:c r="C17" s="52" t="str">
        <x:v>B11</x:v>
      </x:c>
      <x:c r="D17" s="52" t="str">
        <x:v>Basic colour correction and visual consistency</x:v>
      </x:c>
      <x:c r="E17" s="56" t="n">
        <x:v>3</x:v>
      </x:c>
      <x:c r="F17" s="28" t="str">
        <x:v>Make simple corrections that improve consistency between shots.</x:v>
      </x:c>
      <x:c r="G17" s="28" t="str">
        <x:v>Recognising exposure differences and colour casts; basic correction controls; comparing neighbouring shots; correction versus decorative looks. Sophisticated cinematic grading is not required.</x:v>
      </x:c>
      <x:c r="H17" s="28" t="str">
        <x:v>Correct three inconsistent shots and make appropriate adjustments to the activity video. Submit before-and-after comparisons.</x:v>
      </x:c>
      <x:c r="I17" s="28" t="str">
        <x:v>The sequence becomes more consistent, important image information remains usable and the learner explains the corrections.</x:v>
      </x:c>
      <x:c r="J17" s="28" t="str">
        <x:v>After B04, B06 and B09. Assess technical improvement, not a fashionable look.</x:v>
      </x:c>
    </x:row>
    <x:row r="18" ht="96" customHeight="1">
      <x:c r="A18" s="32" t="str">
        <x:v>Beginner</x:v>
      </x:c>
      <x:c r="B18" s="34" t="str">
        <x:v>4. Postproduction</x:v>
      </x:c>
      <x:c r="C18" s="53" t="str">
        <x:v>B12</x:v>
      </x:c>
      <x:c r="D18" s="53" t="str">
        <x:v>Titles, captions, export and final checking</x:v>
      </x:c>
      <x:c r="E18" s="57" t="n">
        <x:v>3</x:v>
      </x:c>
      <x:c r="F18" s="34" t="str">
        <x:v>Export a playable video with readable text and no obvious delivery errors.</x:v>
      </x:c>
      <x:c r="G18" s="34" t="str">
        <x:v>Simple titles; names and spelling; readable placement; caption accuracy; suitable export preset; file naming; full playback inspection. Begin with burned-in captions, then demonstrate separate caption files.</x:v>
      </x:c>
      <x:c r="H18" s="34" t="str">
        <x:v>Export the activity video with a title and captioned speech section. Submit the export and completed quality-control checklist.</x:v>
      </x:c>
      <x:c r="I18" s="34" t="str">
        <x:v>The file plays, text is readable, captions match speech and no unintended black frames or missing audio remain.</x:v>
      </x:c>
      <x:c r="J18" s="34" t="str">
        <x:v>After B10 and B11. Check the exported file, not only the editing timeline.</x:v>
      </x:c>
    </x:row>
    <x:row r="19" ht="96" customHeight="1">
      <x:c r="A19" s="32" t="str">
        <x:v>Beginner</x:v>
      </x:c>
      <x:c r="B19" s="30" t="str">
        <x:v>5. Selected pathway</x:v>
      </x:c>
      <x:c r="C19" s="60" t="str">
        <x:v>B13</x:v>
      </x:c>
      <x:c r="D19" s="60" t="str">
        <x:v>One interest-based pathway — choose one of eight</x:v>
      </x:c>
      <x:c r="E19" s="56" t="n">
        <x:v>8</x:v>
      </x:c>
      <x:c r="F19" s="28" t="str">
        <x:v>Apply basic production skills to one preferred video genre with guidance.</x:v>
      </x:c>
      <x:c r="G19" s="28" t="str">
        <x:v>Choose Wedding, Events, Corporate, Documentary, Social media, YouTube, Travel or Advertising. Focus on a simple genre-appropriate message and manageable coverage.</x:v>
      </x:c>
      <x:c r="H19" s="28" t="str">
        <x:v>Complete one guided assignment in your chosen pathway. Submit the short video, basic plan and original production evidence.</x:v>
      </x:c>
      <x:c r="I19" s="28" t="str">
        <x:v>The video meets the selected brief and demonstrates usable pictures, understandable essential sound and a coherent simple edit.</x:v>
      </x:c>
      <x:c r="J19" s="28" t="str">
        <x:v>After B01–B12. These are introductions, not professional specialisations. Count 8 hours once, not once per option.</x:v>
      </x:c>
    </x:row>
    <x:row r="20" ht="96" customHeight="1">
      <x:c r="A20" s="32" t="str">
        <x:v>Beginner</x:v>
      </x:c>
      <x:c r="B20" s="30" t="str">
        <x:v>6. Final project</x:v>
      </x:c>
      <x:c r="C20" s="60" t="str">
        <x:v>B14</x:v>
      </x:c>
      <x:c r="D20" s="60" t="str">
        <x:v>Independent beginner final project</x:v>
      </x:c>
      <x:c r="E20" s="57" t="n">
        <x:v>16</x:v>
      </x:c>
      <x:c r="F20" s="34" t="str">
        <x:v>Repeat the basic production workflow on a fresh brief with a checklist but without step-by-step direction.</x:v>
      </x:c>
      <x:c r="G20" s="34" t="str">
        <x:v>New project in the chosen pathway; one manageable location; few participants; simple message; planning, capture, editing, finishing, revision and reflection.</x:v>
      </x:c>
      <x:c r="H20" s="34" t="str">
        <x:v>Create a typical 60–90-second video; shorter social or advertising work may use an equivalent brief. Submit plan, shot list, originals, organised project, finished video and reflection.</x:v>
      </x:c>
      <x:c r="I20" s="34" t="str">
        <x:v>Clear message; usable stable and focused images; understandable essential sound; correct export. Demonstrate clear speech recording separately if it does not belong in the film.</x:v>
      </x:c>
      <x:c r="J20" s="34" t="str">
        <x:v>After B13. Do not resubmit the guided activity video. Progression requires demonstrated competence and a checked final delivery.</x:v>
      </x:c>
    </x:row>
    <x:row r="21" ht="96" customHeight="1">
      <x:c r="A21" s="38" t="str">
        <x:v>Intermediate</x:v>
      </x:c>
      <x:c r="B21" s="28" t="str">
        <x:v>1. Concepts</x:v>
      </x:c>
      <x:c r="C21" s="52" t="str">
        <x:v>I01</x:v>
      </x:c>
      <x:c r="D21" s="52" t="str">
        <x:v>Story, audience and visual intention</x:v>
      </x:c>
      <x:c r="E21" s="56" t="n">
        <x:v>8</x:v>
      </x:c>
      <x:c r="F21" s="28" t="str">
        <x:v>Develop two visual approaches to one subject and justify which serves a stated audience and purpose.</x:v>
      </x:c>
      <x:c r="G21" s="28" t="str">
        <x:v>Purpose and message; subject versus story; viewpoint; visual information versus decoration; opening, development and resolution; emotional progression; effects of shot size, duration, sound and sequence; genre-appropriate structures.</x:v>
      </x:c>
      <x:c r="H21" s="28" t="str">
        <x:v>Treat one subject, such as a bakery, as both a founder story and a product promotion. Submit two treatments, select one and build a short visual sequence.</x:v>
      </x:c>
      <x:c r="I21" s="28" t="str">
        <x:v>The learner identifies the audience, intended understanding or emotion and the images that support it.</x:v>
      </x:c>
      <x:c r="J21" s="28" t="str">
        <x:v>Entry diagnostic: a 60–90-second video demonstrating basic capture, speech, editing and export. Use bridge exercises for gaps; do not force every genre into three acts.</x:v>
      </x:c>
    </x:row>
    <x:row r="22" ht="96" customHeight="1">
      <x:c r="A22" s="38" t="str">
        <x:v>Intermediate</x:v>
      </x:c>
      <x:c r="B22" s="34" t="str">
        <x:v>2. Preproduction</x:v>
      </x:c>
      <x:c r="C22" s="53" t="str">
        <x:v>I02</x:v>
      </x:c>
      <x:c r="D22" s="53" t="str">
        <x:v>Brief development, research and creative treatment</x:v>
      </x:c>
      <x:c r="E22" s="57" t="n">
        <x:v>6</x:v>
      </x:c>
      <x:c r="F22" s="34" t="str">
        <x:v>Turn an incomplete request into an actionable brief and appropriate treatment.</x:v>
      </x:c>
      <x:c r="G22" s="34" t="str">
        <x:v>Objectives; useful client or subject questions; audience; deliverables; essential versus background information; research; reference evaluation; scripted, interview-led, observational and demonstration-led approaches.</x:v>
      </x:c>
      <x:c r="H22" s="34" t="str">
        <x:v>Respond to 'Make a video about our business.' Submit a one-page brief, treatment, research notes and proposed deliverables.</x:v>
      </x:c>
      <x:c r="I22" s="34" t="str">
        <x:v>The brief defines purpose, audience, message, scope, constraints, approval responsibility and evaluation criteria.</x:v>
      </x:c>
      <x:c r="J22" s="34" t="str">
        <x:v>After I01. A treatment explains concept, structure, picture and sound approach; it is not only a reference-image collection.</x:v>
      </x:c>
    </x:row>
    <x:row r="23" ht="110" customHeight="1">
      <x:c r="A23" s="38" t="str">
        <x:v>Intermediate</x:v>
      </x:c>
      <x:c r="B23" s="28" t="str">
        <x:v>2. Preproduction</x:v>
      </x:c>
      <x:c r="C23" s="52" t="str">
        <x:v>I03</x:v>
      </x:c>
      <x:c r="D23" s="52" t="str">
        <x:v>Shoot planning, logistics and risk management</x:v>
      </x:c>
      <x:c r="E23" s="56" t="n">
        <x:v>8</x:v>
      </x:c>
      <x:c r="F23" s="28" t="str">
        <x:v>Build a feasible production plan that another crew member can follow.</x:v>
      </x:c>
      <x:c r="G23" s="28" t="str">
        <x:v>Recce; story-linked shot priorities; storyboard versus shooting outline; interview questions; schedule and call sheet; responsibilities; equipment selection; simple budget; permissions; asset-use records; tested copying and backup; contingencies.</x:v>
      </x:c>
      <x:c r="H23" s="28" t="str">
        <x:v>Submit coverage plan, schedule, equipment list, estimated budget, permissions checklist and fallback plan. Revise the pack after an introduced constraint.</x:v>
      </x:c>
      <x:c r="I23" s="28" t="str">
        <x:v>Essential content is protected, resources and time are realistic and the plan remains workable when one assumption changes.</x:v>
      </x:c>
      <x:c r="J23" s="28" t="str">
        <x:v>After I02. Rehearse media protection before filming. Consider unavailable subjects, noise, weather, power, storage and reduced time.</x:v>
      </x:c>
    </x:row>
    <x:row r="24" ht="96" customHeight="1">
      <x:c r="A24" s="38" t="str">
        <x:v>Intermediate</x:v>
      </x:c>
      <x:c r="B24" s="34" t="str">
        <x:v>3. Production</x:v>
      </x:c>
      <x:c r="C24" s="53" t="str">
        <x:v>I04</x:v>
      </x:c>
      <x:c r="D24" s="53" t="str">
        <x:v>Camera consistency and purposeful image capture</x:v>
      </x:c>
      <x:c r="E24" s="57" t="n">
        <x:v>8</x:v>
      </x:c>
      <x:c r="F24" s="34" t="str">
        <x:v>Capture a sequence with intentional, sufficiently consistent exposure, colour, focus and motion.</x:v>
      </x:c>
      <x:c r="G24" s="34" t="str">
        <x:v>Frame rate and shutter choices; white balance; exposure strategy; focal length and distance; autofocus versus manual focus; exposure/focus aids; recording tests; implications of resolution, compression and colour recording for storage and post.</x:v>
      </x:c>
      <x:c r="H24" s="34" t="str">
        <x:v>Record a controlled interior and challenging exterior sequence. Submit camera tests and explain chosen settings.</x:v>
      </x:c>
      <x:c r="I24" s="34" t="str">
        <x:v>Essential details remain usable; focus supports the subject; unintended changes between shots do not distract.</x:v>
      </x:c>
      <x:c r="J24" s="34" t="str">
        <x:v>After I03. Log recording is optional and must suit the workflow; it is not a professional-status requirement.</x:v>
      </x:c>
    </x:row>
    <x:row r="25" ht="96" customHeight="1">
      <x:c r="A25" s="38" t="str">
        <x:v>Intermediate</x:v>
      </x:c>
      <x:c r="B25" s="28" t="str">
        <x:v>3. Production</x:v>
      </x:c>
      <x:c r="C25" s="52" t="str">
        <x:v>I05</x:v>
      </x:c>
      <x:c r="D25" s="52" t="str">
        <x:v>Coverage, continuity and motivated camera movement</x:v>
      </x:c>
      <x:c r="E25" s="56" t="n">
        <x:v>8</x:v>
      </x:c>
      <x:c r="F25" s="28" t="str">
        <x:v>Capture purposeful coverage sufficient to construct a clear, editable sequence.</x:v>
      </x:c>
      <x:c r="G25" s="28" t="str">
        <x:v>Master, medium, detail, reaction, insert and cutaway shots; screen direction; eyelines; matching action; recording room for edits; anticipation; tripod, handheld and stabilised movement; basic two-camera priorities.</x:v>
      </x:c>
      <x:c r="H25" s="28" t="str">
        <x:v>Film a repeatable activity with a limited shot allowance. Submit coverage and a 45–60-second assembled sequence.</x:v>
      </x:c>
      <x:c r="I25" s="28" t="str">
        <x:v>Viewers follow the activity without explanatory rescue. Movement has a reason; accidental continuity problems do not make action confusing.</x:v>
      </x:c>
      <x:c r="J25" s="28" t="str">
        <x:v>After I04. Distinguish complete coverage from recording many clips; protect essential action with an assigned camera.</x:v>
      </x:c>
    </x:row>
    <x:row r="26" ht="96" customHeight="1">
      <x:c r="A26" s="38" t="str">
        <x:v>Intermediate</x:v>
      </x:c>
      <x:c r="B26" s="34" t="str">
        <x:v>3. Production</x:v>
      </x:c>
      <x:c r="C26" s="53" t="str">
        <x:v>I06</x:v>
      </x:c>
      <x:c r="D26" s="53" t="str">
        <x:v>Practical lighting and location control</x:v>
      </x:c>
      <x:c r="E26" s="57" t="n">
        <x:v>8</x:v>
      </x:c>
      <x:c r="F26" s="34" t="str">
        <x:v>Shape available or simple artificial light into a repeatable look appropriate to the subject.</x:v>
      </x:c>
      <x:c r="G26" s="34" t="str">
        <x:v>Direction, quality, contrast and colour; window light; bounce; diffusion; negative fill; practicals; background separation; mixed sources; reflective surfaces; indoor/outdoor interviews; safe placement and continuity.</x:v>
      </x:c>
      <x:c r="H26" s="34" t="str">
        <x:v>Create two looks for one subject using limited equipment. Submit recordings, a lighting diagram and a reference frame for each.</x:v>
      </x:c>
      <x:c r="I26" s="34" t="str">
        <x:v>The learner reproduces a selected look, explains each choice and identifies changes required when subject or camera moves.</x:v>
      </x:c>
      <x:c r="J26" s="34" t="str">
        <x:v>After I04. Complex rigs and elaborate commercial product lighting are later specialisation topics.</x:v>
      </x:c>
    </x:row>
    <x:row r="27" ht="96" customHeight="1">
      <x:c r="A27" s="38" t="str">
        <x:v>Intermediate</x:v>
      </x:c>
      <x:c r="B27" s="28" t="str">
        <x:v>3. Production</x:v>
      </x:c>
      <x:c r="C27" s="52" t="str">
        <x:v>I07</x:v>
      </x:c>
      <x:c r="D27" s="52" t="str">
        <x:v>Location sound, interviewing and directing people</x:v>
      </x:c>
      <x:c r="E27" s="56" t="n">
        <x:v>10</x:v>
      </x:c>
      <x:c r="F27" s="28" t="str">
        <x:v>Record usable speech and direct a participant through an interview or demonstration.</x:v>
      </x:c>
      <x:c r="G27" s="28" t="str">
        <x:v>Microphone choice and placement; headphones; levels; clothing/handling noise; wind and background noise; room tone and ambience; separate recording; practical backup; researched questions, follow-ups, listening, eyelines and action-based direction.</x:v>
      </x:c>
      <x:c r="H27" s="28" t="str">
        <x:v>Record an interview and directed activity, room tone, useful ambience and synchronisation reference as needed. Diagnose an audio problem and re-record. Submit originals and notes.</x:v>
      </x:c>
      <x:c r="I27" s="28" t="str">
        <x:v>Speech is understandable, essential answers are complete and problems are identified and addressed before leaving the location.</x:v>
      </x:c>
      <x:c r="J27" s="28" t="str">
        <x:v>After I03. Help participants communicate clearly without prompting claims they do not genuinely support.</x:v>
      </x:c>
    </x:row>
    <x:row r="28" ht="96" customHeight="1">
      <x:c r="A28" s="38" t="str">
        <x:v>Intermediate</x:v>
      </x:c>
      <x:c r="B28" s="34" t="str">
        <x:v>4. Postproduction</x:v>
      </x:c>
      <x:c r="C28" s="53" t="str">
        <x:v>I08</x:v>
      </x:c>
      <x:c r="D28" s="53" t="str">
        <x:v>Media organisation, synchronisation and edit preparation</x:v>
      </x:c>
      <x:c r="E28" s="57" t="n">
        <x:v>6</x:v>
      </x:c>
      <x:c r="F28" s="34" t="str">
        <x:v>Prepare an organised project that can be reopened, revised and handed over.</x:v>
      </x:c>
      <x:c r="G28" s="34" t="str">
        <x:v>Folder structures; source preservation; verified copies; naming; bins; selects; transcripts and notes; proxies when useful; relinking; version control; audio, marker or accurate-timecode synchronisation.</x:v>
      </x:c>
      <x:c r="H28" s="34" t="str">
        <x:v>Organise the core project, synchronise interview audio, create selects and complete a relinking or recovery test. Practise two-camera sync using supplied footage.</x:v>
      </x:c>
      <x:c r="I28" s="34" t="str">
        <x:v>Another learner locates sources and the current sequence, understands the project and reopens it successfully.</x:v>
      </x:c>
      <x:c r="J28" s="34" t="str">
        <x:v>After capture exercises I04–I07. Keep Premiere Pro as the common editor; teach workflow rather than a menu tour.</x:v>
      </x:c>
    </x:row>
    <x:row r="29" ht="96" customHeight="1">
      <x:c r="A29" s="38" t="str">
        <x:v>Intermediate</x:v>
      </x:c>
      <x:c r="B29" s="28" t="str">
        <x:v>4. Postproduction</x:v>
      </x:c>
      <x:c r="C29" s="52" t="str">
        <x:v>I09</x:v>
      </x:c>
      <x:c r="D29" s="52" t="str">
        <x:v>Story editing, pacing and editorial judgement</x:v>
      </x:c>
      <x:c r="E29" s="56" t="n">
        <x:v>10</x:v>
      </x:c>
      <x:c r="F29" s="28" t="str">
        <x:v>Build and revise an edit whose structure and pacing support the intended message.</x:v>
      </x:c>
      <x:c r="G29" s="28" t="str">
        <x:v>Meaningful selects; story spine; interview-led editing; missing information; clarity, emotion and explanation; J-cuts/L-cuts; evidence-led B-roll; removing irrelevant attractive shots; continuity-, montage- and information-led approaches.</x:v>
      </x:c>
      <x:c r="H29" s="28" t="str">
        <x:v>Create the core project's rough cut and two openings. Screen with peers, identify confusion or disengagement and submit a revised cut with decision notes.</x:v>
      </x:c>
      <x:c r="I29" s="28" t="str">
        <x:v>The learner explains major decisions, preserves participants' meaning and demonstrates how revision improves the first cut.</x:v>
      </x:c>
      <x:c r="J29" s="28" t="str">
        <x:v>After I08. Judge the edit against its purpose, not a single preferred pacing style.</x:v>
      </x:c>
    </x:row>
    <x:row r="30" ht="96" customHeight="1">
      <x:c r="A30" s="38" t="str">
        <x:v>Intermediate</x:v>
      </x:c>
      <x:c r="B30" s="34" t="str">
        <x:v>4. Postproduction</x:v>
      </x:c>
      <x:c r="C30" s="53" t="str">
        <x:v>I10</x:v>
      </x:c>
      <x:c r="D30" s="53" t="str">
        <x:v>Dialogue editing, sound design and mixing</x:v>
      </x:c>
      <x:c r="E30" s="57" t="n">
        <x:v>8</x:v>
      </x:c>
      <x:c r="F30" s="34" t="str">
        <x:v>Create an intentional soundtrack with clear essential information.</x:v>
      </x:c>
      <x:c r="G30" s="34" t="str">
        <x:v>Dialogue cleanup; smooth edits; ambience continuity; music choice; effects; balancing levels; introductory equalisation and dynamics; preparation for the supplied delivery requirements.</x:v>
      </x:c>
      <x:c r="H30" s="34" t="str">
        <x:v>Finish the core project's sound. Submit a before-and-after section and evaluate the mix on headphones and ordinary speakers.</x:v>
      </x:c>
      <x:c r="I30" s="34" t="str">
        <x:v>Dialogue is not obscured; edits avoid unintended audible distractions; processing does not create obvious damage; the mix meets the brief.</x:v>
      </x:c>
      <x:c r="J30" s="34" t="str">
        <x:v>After I07 and I09. Sound is a required production competency, not a finishing bonus.</x:v>
      </x:c>
    </x:row>
    <x:row r="31" ht="96" customHeight="1">
      <x:c r="A31" s="38" t="str">
        <x:v>Intermediate</x:v>
      </x:c>
      <x:c r="B31" s="28" t="str">
        <x:v>4. Postproduction</x:v>
      </x:c>
      <x:c r="C31" s="52" t="str">
        <x:v>I11</x:v>
      </x:c>
      <x:c r="D31" s="52" t="str">
        <x:v>Colour correction, shot matching and look development</x:v>
      </x:c>
      <x:c r="E31" s="56" t="n">
        <x:v>8</x:v>
      </x:c>
      <x:c r="F31" s="28" t="str">
        <x:v>Correct and match a sequence, then apply a restrained, purposeful look.</x:v>
      </x:c>
      <x:c r="G31" s="28" t="str">
        <x:v>Correction versus grading; scopes; exposure and white balance; adjacent-shot matching; coherent skin tones; introductory secondary adjustments; whole-sequence look evaluation; appropriate input handling for log footage.</x:v>
      </x:c>
      <x:c r="H31" s="28" t="str">
        <x:v>Submit corrected and creatively finished versions of the core project, with representative before-and-after frames.</x:v>
      </x:c>
      <x:c r="I31" s="28" t="str">
        <x:v>Shots are coherent, important information is retained and technical repair can be distinguished from a creative choice.</x:v>
      </x:c>
      <x:c r="J31" s="28" t="str">
        <x:v>After I04, I06 and I09. Use log input handling only when relevant to recorded sources.</x:v>
      </x:c>
    </x:row>
    <x:row r="32" ht="96" customHeight="1">
      <x:c r="A32" s="38" t="str">
        <x:v>Intermediate</x:v>
      </x:c>
      <x:c r="B32" s="34" t="str">
        <x:v>4. Postproduction</x:v>
      </x:c>
      <x:c r="C32" s="53" t="str">
        <x:v>I12</x:v>
      </x:c>
      <x:c r="D32" s="53" t="str">
        <x:v>Titles, accessibility, adaptation and delivery</x:v>
      </x:c>
      <x:c r="E32" s="57" t="n">
        <x:v>8</x:v>
      </x:c>
      <x:c r="F32" s="34" t="str">
        <x:v>Deliver a checked master and a purposeful alternate version that meet the brief.</x:v>
      </x:c>
      <x:c r="G32" s="34" t="str">
        <x:v>Readable typography; lower thirds; brand consistency; caption accuracy/timing; reframing; alternative openings/durations; export settings; names; review notes; revision control; burned-in versus sidecar captions; final quality checks.</x:v>
      </x:c>
      <x:c r="H32" s="34" t="str">
        <x:v>Deliver the core film, a short alternate version, appropriate captions and a quality checklist. Complete one consolidated feedback round with a change record.</x:v>
      </x:c>
      <x:c r="I32" s="34" t="str">
        <x:v>No missing assets, unintended black frames, incorrect names, avoidable caption errors or unintended audio changes. The alternate version is deliberately edited, not merely cropped.</x:v>
      </x:c>
      <x:c r="J32" s="34" t="str">
        <x:v>After I10 and I11. Check exported deliverables against the agreed brief.</x:v>
      </x:c>
    </x:row>
    <x:row r="33" ht="96" customHeight="1">
      <x:c r="A33" s="38" t="str">
        <x:v>Intermediate</x:v>
      </x:c>
      <x:c r="B33" s="36" t="str">
        <x:v>5. Selected pathway</x:v>
      </x:c>
      <x:c r="C33" s="62" t="str">
        <x:v>I13</x:v>
      </x:c>
      <x:c r="D33" s="62" t="str">
        <x:v>One specialisation pathway — choose one of eight</x:v>
      </x:c>
      <x:c r="E33" s="56" t="n">
        <x:v>20</x:v>
      </x:c>
      <x:c r="F33" s="28" t="str">
        <x:v>Apply shared skills to a distinct production problem in one selected genre.</x:v>
      </x:c>
      <x:c r="G33" s="28" t="str">
        <x:v>Choose Wedding, Events, Corporate, Documentary, Social media, YouTube, Travel or Advertising. Deepen the chosen genre's planning, coverage, editorial and delivery requirements.</x:v>
      </x:c>
      <x:c r="H33" s="28" t="str">
        <x:v>Complete the selected pathway assignment with supporting plan, originals, edit and required versions.</x:v>
      </x:c>
      <x:c r="I33" s="28" t="str">
        <x:v>The work meets its genre-specific brief while demonstrating independent small-scale production competence.</x:v>
      </x:c>
      <x:c r="J33" s="28" t="str">
        <x:v>After I01–I12. Count 20 hours once. This module is not mastery of an entire industry.</x:v>
      </x:c>
    </x:row>
    <x:row r="34" ht="96" customHeight="1">
      <x:c r="A34" s="38" t="str">
        <x:v>Intermediate</x:v>
      </x:c>
      <x:c r="B34" s="36" t="str">
        <x:v>6. Final project</x:v>
      </x:c>
      <x:c r="C34" s="62" t="str">
        <x:v>I14</x:v>
      </x:c>
      <x:c r="D34" s="62" t="str">
        <x:v>Independent intermediate capstone</x:v>
      </x:c>
      <x:c r="E34" s="57" t="n">
        <x:v>28</x:v>
      </x:c>
      <x:c r="F34" s="34" t="str">
        <x:v>Plan, shoot, edit and deliver a purposeful short video on a new brief independently or with a small crew.</x:v>
      </x:c>
      <x:c r="G34" s="34" t="str">
        <x:v>New selected-pathway brief; one principal location; few participants; limited equipment; approximately a half-day of principal photography; planning, capture, editing, finishing, feedback and handover.</x:v>
      </x:c>
      <x:c r="H34" s="34" t="str">
        <x:v>Submit the production pack, main video, one justified alternate, organised project and reflection. Include a source/project walkthrough and individual contribution record when working in a team.</x:v>
      </x:c>
      <x:c r="I34" s="34" t="str">
        <x:v>The video fulfils the brief, demonstrates independent decisions and resolves critical image, sound, permissions and delivery problems. Revision evidence shows improvement.</x:v>
      </x:c>
      <x:c r="J34" s="34" t="str">
        <x:v>After I13. Do not simply repolish the guided core project. Duration follows purpose; a short advertisement can match a longer profile in complexity.</x:v>
      </x:c>
    </x:row>
    <x:row r="35" ht="96" customHeight="1">
      <x:c r="A35" s="42" t="str">
        <x:v>Advanced</x:v>
      </x:c>
      <x:c r="B35" s="28" t="str">
        <x:v>1. Concepts</x:v>
      </x:c>
      <x:c r="C35" s="52" t="str">
        <x:v>A01</x:v>
      </x:c>
      <x:c r="D35" s="52" t="str">
        <x:v>Creative direction, audience and point of view</x:v>
      </x:c>
      <x:c r="E35" s="56" t="n">
        <x:v>12</x:v>
      </x:c>
      <x:c r="F35" s="28" t="str">
        <x:v>Develop and defend a distinctive creative approach for a defined audience and purpose.</x:v>
      </x:c>
      <x:c r="G35" s="28" t="str">
        <x:v>Point of view; emotional/informational progression; motifs; tone; omission; openings and endings; reference analysis; creative intention versus audience interpretation; relevant concept versus attractive surface style.</x:v>
      </x:c>
      <x:c r="H35" s="28" t="str">
        <x:v>Develop two substantially different approaches to one brief. Submit treatments, reference frames, sound direction, intended responses and the rationale for selection.</x:v>
      </x:c>
      <x:c r="I35" s="28" t="str">
        <x:v>The learner justifies the chosen approach, identifies risks and explains why the alternative is less appropriate, not merely less attractive.</x:v>
      </x:c>
      <x:c r="J35" s="28" t="str">
        <x:v>Entry: intermediate-level video, original/project evidence, decision discussion and a problem-solving exercise. Provide targeted bridge work.</x:v>
      </x:c>
    </x:row>
    <x:row r="36" ht="96" customHeight="1">
      <x:c r="A36" s="42" t="str">
        <x:v>Advanced</x:v>
      </x:c>
      <x:c r="B36" s="34" t="str">
        <x:v>2. Preproduction</x:v>
      </x:c>
      <x:c r="C36" s="53" t="str">
        <x:v>A02</x:v>
      </x:c>
      <x:c r="D36" s="53" t="str">
        <x:v>Research, story development and treatment testing</x:v>
      </x:c>
      <x:c r="E36" s="57" t="n">
        <x:v>12</x:v>
      </x:c>
      <x:c r="F36" s="34" t="str">
        <x:v>Test whether a proposed story is credible, filmable and supported by available material.</x:v>
      </x:c>
      <x:c r="G36" s="34" t="str">
        <x:v>Research interviews; checking claims; access; subject development; outlines; scripted/observational approaches; archive needs; planned action versus uncertain events; representation, reconstruction, expectations and sensitive material.</x:v>
      </x:c>
      <x:c r="H36" s="34" t="str">
        <x:v>Submit a research-backed treatment and test one critical assumption through a recce, interview, visual experiment or rehearsal. Record resulting changes.</x:v>
      </x:c>
      <x:c r="I36" s="34" t="str">
        <x:v>Unsupported assumptions are identified and the proposal changes when evidence does not support the original concept.</x:v>
      </x:c>
      <x:c r="J36" s="34" t="str">
        <x:v>After A01. Ethical judgement is assessed alongside research quality.</x:v>
      </x:c>
    </x:row>
    <x:row r="37" ht="96" customHeight="1">
      <x:c r="A37" s="42" t="str">
        <x:v>Advanced</x:v>
      </x:c>
      <x:c r="B37" s="28" t="str">
        <x:v>2. Preproduction</x:v>
      </x:c>
      <x:c r="C37" s="52" t="str">
        <x:v>A03</x:v>
      </x:c>
      <x:c r="D37" s="52" t="str">
        <x:v>Producing, budgeting, scheduling and managing change</x:v>
      </x:c>
      <x:c r="E37" s="56" t="n">
        <x:v>12</x:v>
      </x:c>
      <x:c r="F37" s="28" t="str">
        <x:v>Manage a feasible production plan with clear responsibilities and controlled changes.</x:v>
      </x:c>
      <x:c r="G37" s="28" t="str">
        <x:v>Scope; deliverables; resource estimates; budgets; schedules; roles and dependencies; approvals; contingencies; revision boundaries; risk assessment; permissions and asset-use records; recognising when specialist safety or legal review is needed.</x:v>
      </x:c>
      <x:c r="H37" s="28" t="str">
        <x:v>Submit a complete production pack, then respond to a reduced-access, missing-participant or shortened-deadline scenario. Document cost, schedule and deliverable changes.</x:v>
      </x:c>
      <x:c r="I37" s="28" t="str">
        <x:v>Essential outcomes are protected; trade-offs are communicated; resource or scope changes are explicit.</x:v>
      </x:c>
      <x:c r="J37" s="28" t="str">
        <x:v>After A02. Learners are not expected to resolve every legal or specialist safety issue themselves.</x:v>
      </x:c>
    </x:row>
    <x:row r="38" ht="96" customHeight="1">
      <x:c r="A38" s="42" t="str">
        <x:v>Advanced</x:v>
      </x:c>
      <x:c r="B38" s="34" t="str">
        <x:v>3. Production</x:v>
      </x:c>
      <x:c r="C38" s="53" t="str">
        <x:v>A04</x:v>
      </x:c>
      <x:c r="D38" s="53" t="str">
        <x:v>Cinematography and camera-to-post workflow design</x:v>
      </x:c>
      <x:c r="E38" s="57" t="n">
        <x:v>12</x:v>
      </x:c>
      <x:c r="F38" s="34" t="str">
        <x:v>Select and validate an image-capture workflow for the intended production and delivery.</x:v>
      </x:c>
      <x:c r="G38" s="34" t="str">
        <x:v>Camera/lens tests; exposure strategy; motion and shutter decisions; difficult contrast; mixed formats; camera matching; recording choices versus storage, editing and finishing; controlled log-workflow testing.</x:v>
      </x:c>
      <x:c r="H38" s="34" t="str">
        <x:v>Run a camera-to-export test across two recording conditions or camera sources. Submit settings, test outputs, workflow choices and limitations.</x:v>
      </x:c>
      <x:c r="I38" s="34" t="str">
        <x:v>The workflow produces consistent usable results. The learner diagnoses the source of a problem instead of using unexplained fixes.</x:v>
      </x:c>
      <x:c r="J38" s="34" t="str">
        <x:v>After A03. Log and expensive cameras are not advanced-status requirements.</x:v>
      </x:c>
    </x:row>
    <x:row r="39" ht="96" customHeight="1">
      <x:c r="A39" s="42" t="str">
        <x:v>Advanced</x:v>
      </x:c>
      <x:c r="B39" s="28" t="str">
        <x:v>3. Production</x:v>
      </x:c>
      <x:c r="C39" s="52" t="str">
        <x:v>A05</x:v>
      </x:c>
      <x:c r="D39" s="52" t="str">
        <x:v>Directing people, staging action and designing coverage</x:v>
      </x:c>
      <x:c r="E39" s="56" t="n">
        <x:v>12</x:v>
      </x:c>
      <x:c r="F39" s="28" t="str">
        <x:v>Coordinate people and cameras to capture purposeful performance or complete coverage.</x:v>
      </x:c>
      <x:c r="G39" s="28" t="str">
        <x:v>Action-based direction; rehearsal; participant confidence; blocking; eyelines; spatial continuity; priorities; multi-camera responsibilities; adapting when shots become unavailable; staged versus unstaged action.</x:v>
      </x:c>
      <x:c r="H39" s="28" t="str">
        <x:v>Direct a scene, demonstration or interview-led sequence with multiple coverage options. Repeat under reduced time. Submit coverage plans, originals and comparison notes.</x:v>
      </x:c>
      <x:c r="I39" s="28" t="str">
        <x:v>Direction is clear, essential material is protected and footage supports the intended edit without missing information or needless repetition.</x:v>
      </x:c>
      <x:c r="J39" s="28" t="str">
        <x:v>After A01–A04. Do not present manufactured documentary moments as spontaneous observation.</x:v>
      </x:c>
    </x:row>
    <x:row r="40" ht="96" customHeight="1">
      <x:c r="A40" s="42" t="str">
        <x:v>Advanced</x:v>
      </x:c>
      <x:c r="B40" s="34" t="str">
        <x:v>3. Production</x:v>
      </x:c>
      <x:c r="C40" s="53" t="str">
        <x:v>A06</x:v>
      </x:c>
      <x:c r="D40" s="53" t="str">
        <x:v>Lighting design and maintaining continuity</x:v>
      </x:c>
      <x:c r="E40" s="57" t="n">
        <x:v>12</x:v>
      </x:c>
      <x:c r="F40" s="34" t="str">
        <x:v>Design and reproduce a lighting approach across angles, participants or changing conditions.</x:v>
      </x:c>
      <x:c r="G40" s="34" t="str">
        <x:v>Contrast and exposure relationships; motivated sources; mixed light; practicals; diffusion and negative fill; reflective surfaces; background control; continuity; efficient changes; limitations; safe placement; look documentation.</x:v>
      </x:c>
      <x:c r="H40" s="34" t="str">
        <x:v>Plan two connected setups and adapt after a controlled location change. Submit diagrams, reference frames and change notes.</x:v>
      </x:c>
      <x:c r="I40" s="34" t="str">
        <x:v>The intention stays coherent, the setup is reproducible and changes, preserved priorities and compromises are explained.</x:v>
      </x:c>
      <x:c r="J40" s="34" t="str">
        <x:v>After A04. Prioritise intentional control and safe execution over equipment complexity.</x:v>
      </x:c>
    </x:row>
    <x:row r="41" ht="96" customHeight="1">
      <x:c r="A41" s="42" t="str">
        <x:v>Advanced</x:v>
      </x:c>
      <x:c r="B41" s="28" t="str">
        <x:v>3. Production</x:v>
      </x:c>
      <x:c r="C41" s="52" t="str">
        <x:v>A07</x:v>
      </x:c>
      <x:c r="D41" s="52" t="str">
        <x:v>Production sound and recording reliability</x:v>
      </x:c>
      <x:c r="E41" s="56" t="n">
        <x:v>12</x:v>
      </x:c>
      <x:c r="F41" s="28" t="str">
        <x:v>Execute a recording strategy that protects essential content under realistic conditions.</x:v>
      </x:c>
      <x:c r="G41" s="28" t="str">
        <x:v>Microphone strategy; multiple speakers; separate recording; sync references; monitoring responsibility; practical backups; ambience; sound reports; deciding when to change a location or setup.</x:v>
      </x:c>
      <x:c r="H41" s="28" t="str">
        <x:v>Record a two-person exchange or event segment with primary and backup approaches. Diagnose a simulated failure using copies. Submit recordings, sound report and recovery rationale.</x:v>
      </x:c>
      <x:c r="I41" s="28" t="str">
        <x:v>The learner identifies the fault, selects usable material and proposes credible recovery without claiming every problem can be repaired.</x:v>
      </x:c>
      <x:c r="J41" s="28" t="str">
        <x:v>After A03. Plan sound before the shoot; never endanger original media for a test.</x:v>
      </x:c>
    </x:row>
    <x:row r="42" ht="96" customHeight="1">
      <x:c r="A42" s="42" t="str">
        <x:v>Advanced</x:v>
      </x:c>
      <x:c r="B42" s="34" t="str">
        <x:v>4. Postproduction</x:v>
      </x:c>
      <x:c r="C42" s="53" t="str">
        <x:v>A08</x:v>
      </x:c>
      <x:c r="D42" s="53" t="str">
        <x:v>Media integrity, collaboration and project handover</x:v>
      </x:c>
      <x:c r="E42" s="57" t="n">
        <x:v>12</x:v>
      </x:c>
      <x:c r="F42" s="34" t="str">
        <x:v>Maintain a collaborative editing workflow that can recover from common disruptions.</x:v>
      </x:c>
      <x:c r="G42" s="34" t="str">
        <x:v>Verified copies; metadata; storage; proxies; shared conventions; edit ownership; relinking; version control; returning to originals for finishing. Demonstrate software implementations of performance management and edit coordination.</x:v>
      </x:c>
      <x:c r="H42" s="34" t="str">
        <x:v>Hand a project to another learner, complete a recovery exercise and confirm the finishing sequence references the intended sources. Submit the project and workflow documentation.</x:v>
      </x:c>
      <x:c r="I42" s="34" t="str">
        <x:v>Handover works without undocumented repair; authoritative media and current edit are identifiable.</x:v>
      </x:c>
      <x:c r="J42" s="34" t="str">
        <x:v>After A03–A07. Source workflows are tested before principal photography even though this module deepens postproduction practice.</x:v>
      </x:c>
    </x:row>
    <x:row r="43" ht="96" customHeight="1">
      <x:c r="A43" s="42" t="str">
        <x:v>Advanced</x:v>
      </x:c>
      <x:c r="B43" s="28" t="str">
        <x:v>4. Postproduction</x:v>
      </x:c>
      <x:c r="C43" s="52" t="str">
        <x:v>A09</x:v>
      </x:c>
      <x:c r="D43" s="52" t="str">
        <x:v>Structural editing and managing editorial revisions</x:v>
      </x:c>
      <x:c r="E43" s="56" t="n">
        <x:v>18</x:v>
      </x:c>
      <x:c r="F43" s="28" t="str">
        <x:v>Shape complex material and resolve conflicting feedback while preserving central intention.</x:v>
      </x:c>
      <x:c r="G43" s="28" t="str">
        <x:v>Structure; character and information progression; performance selection; parallel action; compression; silence and implication; alternative openings; versions/durations; interview meaning; preference versus communication problems.</x:v>
      </x:c>
      <x:c r="H43" s="28" t="str">
        <x:v>Create two structural approaches, run a focused screening and complete two documented revision rounds. Submit cuts and a note-resolution log.</x:v>
      </x:c>
      <x:c r="I43" s="28" t="str">
        <x:v>Revisions improve the intended experience; decisions are defensible; accepted, adapted or challenged notes have clear reasons.</x:v>
      </x:c>
      <x:c r="J43" s="28" t="str">
        <x:v>After A05 and A08. Evaluate the work against its brief and genre, not a universal rhythm.</x:v>
      </x:c>
    </x:row>
    <x:row r="44" ht="96" customHeight="1">
      <x:c r="A44" s="42" t="str">
        <x:v>Advanced</x:v>
      </x:c>
      <x:c r="B44" s="34" t="str">
        <x:v>4. Postproduction</x:v>
      </x:c>
      <x:c r="C44" s="53" t="str">
        <x:v>A10</x:v>
      </x:c>
      <x:c r="D44" s="53" t="str">
        <x:v>Sound editing, design and final mixing</x:v>
      </x:c>
      <x:c r="E44" s="57" t="n">
        <x:v>12</x:v>
      </x:c>
      <x:c r="F44" s="34" t="str">
        <x:v>Build a controlled soundtrack and prepare it for a defined delivery specification.</x:v>
      </x:c>
      <x:c r="G44" s="34" t="str">
        <x:v>Dialogue editing; noise-reduction judgement; ambience; effects; music structure; equalisation; dynamics; loudness measurement; separate dialogue, music and effects outputs; compromises and repairs.</x:v>
      </x:c>
      <x:c r="H44" s="34" t="str">
        <x:v>Finish a challenging sequence. Submit the mix, separated sound elements and a repair/compromise record.</x:v>
      </x:c>
      <x:c r="I44" s="34" t="str">
        <x:v>The soundtrack supports the story, essentials remain clear, processing artefacts are controlled and the supplied specification is met.</x:v>
      </x:c>
      <x:c r="J44" s="34" t="str">
        <x:v>After A07 and A09. Do not impose one audio target on every destination.</x:v>
      </x:c>
    </x:row>
    <x:row r="45" ht="96" customHeight="1">
      <x:c r="A45" s="42" t="str">
        <x:v>Advanced</x:v>
      </x:c>
      <x:c r="B45" s="28" t="str">
        <x:v>4. Postproduction</x:v>
      </x:c>
      <x:c r="C45" s="52" t="str">
        <x:v>A11</x:v>
      </x:c>
      <x:c r="D45" s="52" t="str">
        <x:v>Colour management, matching and look development</x:v>
      </x:c>
      <x:c r="E45" s="56" t="n">
        <x:v>12</x:v>
      </x:c>
      <x:c r="F45" s="28" t="str">
        <x:v>Maintain a controlled colour workflow and coherent look across varied source material.</x:v>
      </x:c>
      <x:c r="G45" s="28" t="str">
        <x:v>Input/output handling; scopes; matching; primary and secondary corrections; skin-tone consistency; look development; comparing timeline and export; identifying unexplained colour changes.</x:v>
      </x:c>
      <x:c r="H45" s="28" t="str">
        <x:v>Match mixed sources, develop an approved look and compare the timeline with the exported result. Submit settings, comparisons and finished sequence.</x:v>
      </x:c>
      <x:c r="I45" s="28" t="str">
        <x:v>Corrections remain distinct from creative choices, the sequence is coherent and unexplained output differences are investigated.</x:v>
      </x:c>
      <x:c r="J45" s="28" t="str">
        <x:v>After A04, A06 and A09. Validate the workflow using the available display and delivery context; document limitations.</x:v>
      </x:c>
    </x:row>
    <x:row r="46" ht="96" customHeight="1">
      <x:c r="A46" s="42" t="str">
        <x:v>Advanced</x:v>
      </x:c>
      <x:c r="B46" s="34" t="str">
        <x:v>4. Postproduction</x:v>
      </x:c>
      <x:c r="C46" s="53" t="str">
        <x:v>A12</x:v>
      </x:c>
      <x:c r="D46" s="53" t="str">
        <x:v>Multi-version delivery, quality control and archiving</x:v>
      </x:c>
      <x:c r="E46" s="57" t="n">
        <x:v>6</x:v>
      </x:c>
      <x:c r="F46" s="34" t="str">
        <x:v>Deliver a checked package that can be published, revised and retrieved later.</x:v>
      </x:c>
      <x:c r="G46" s="34" t="str">
        <x:v>Delivery specifications; aspect-ratio adaptations; graphic consistency; captions; language review where relevant; export verification; asset-use records; review links; approvals; archive responsibilities.</x:v>
      </x:c>
      <x:c r="H46" s="34" t="str">
        <x:v>Submit a main film, purposeful alternate version, appropriate captions and documented handover.</x:v>
      </x:c>
      <x:c r="I46" s="34" t="str">
        <x:v>Files meet the brief, names are unambiguous, exports pass inspection and a collaborator understands the package without verbal rescue.</x:v>
      </x:c>
      <x:c r="J46" s="34" t="str">
        <x:v>After A08–A11. No universal export preset suits every destination; check each supplied specification.</x:v>
      </x:c>
    </x:row>
    <x:row r="47" ht="96" customHeight="1">
      <x:c r="A47" s="42" t="str">
        <x:v>Advanced</x:v>
      </x:c>
      <x:c r="B47" s="40" t="str">
        <x:v>5. Selected pathway</x:v>
      </x:c>
      <x:c r="C47" s="64" t="str">
        <x:v>A13</x:v>
      </x:c>
      <x:c r="D47" s="64" t="str">
        <x:v>One advanced specialisation — choose one of eight</x:v>
      </x:c>
      <x:c r="E47" s="56" t="n">
        <x:v>40</x:v>
      </x:c>
      <x:c r="F47" s="28" t="str">
        <x:v>Deepen creative judgement and production control in a selected genre.</x:v>
      </x:c>
      <x:c r="G47" s="28" t="str">
        <x:v>Choose Wedding, Events, Corporate, Documentary, Social media, YouTube, Travel or Advertising. Address the genre's distinctive research, planning, directing, coverage, revision and delivery problems.</x:v>
      </x:c>
      <x:c r="H47" s="28" t="str">
        <x:v>Complete one advanced assignment in your chosen pathway with production tests, original evidence, required versions and a decision rationale.</x:v>
      </x:c>
      <x:c r="I47" s="28" t="str">
        <x:v>The learner meets genre-specific expectations and manages realistic constraints without relying on gear cost, client access or audience growth.</x:v>
      </x:c>
      <x:c r="J47" s="28" t="str">
        <x:v>After A01–A12. Count 40 hours once. The award should name the selected pathway; competence does not automatically transfer to every genre.</x:v>
      </x:c>
    </x:row>
    <x:row r="48" ht="96" customHeight="1">
      <x:c r="A48" s="42" t="str">
        <x:v>Advanced</x:v>
      </x:c>
      <x:c r="B48" s="40" t="str">
        <x:v>6. Final project</x:v>
      </x:c>
      <x:c r="C48" s="64" t="str">
        <x:v>A14</x:v>
      </x:c>
      <x:c r="D48" s="64" t="str">
        <x:v>Independent advanced capstone</x:v>
      </x:c>
      <x:c r="E48" s="57" t="n">
        <x:v>56</x:v>
      </x:c>
      <x:c r="F48" s="34" t="str">
        <x:v>Lead a scoped production, maintain creative intent through complexity and deliver a recoverable final package.</x:v>
      </x:c>
      <x:c r="G48" s="34" t="str">
        <x:v>New real or simulated commission; defined audience, objective, resources, deadline, approvals and deliverables; few locations and participants; documented lead role; technical testing; controlled complication; two review rounds.</x:v>
      </x:c>
      <x:c r="H48" s="34" t="str">
        <x:v>Submit treatment, production pack, tests, originals, project files, deliverables, revision log and case study. State individual responsibilities, constraints, decisions and results.</x:v>
      </x:c>
      <x:c r="I48" s="34" t="str">
        <x:v>The learner owns significant responsibilities, coordinates others where needed, protects the result through revisions and resolves critical failures within the assessed scope.</x:v>
      </x:c>
      <x:c r="J48" s="34" t="str">
        <x:v>After A13. Paying-client access is not required. Gates: feasible brief, successful tests, reviewed rough cut, checked final. Never jeopardise participants, client work or originals.</x:v>
      </x:c>
    </x:row>
  </x:sheetData>
  <x:mergeCells>
    <x:mergeCell ref="A1:J2"/>
    <x:mergeCell ref="A3:J4"/>
  </x:mergeCells>
  <x:pageMargins left="0.7" right="0.7" top="0.75" bottom="0.75" header="0.3" footer="0.3"/>
  <x:tableParts count="1">
    <x:tablePart xmlns:r="http://schemas.openxmlformats.org/officeDocument/2006/relationships" r:id="Rece030feaec54c9b"/>
  </x:tableParts>
</x:worksheet>
</file>