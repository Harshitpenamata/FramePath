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a7175fb0c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-by-Module Links" sheetId="1" r:id="Rca37204fe999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sz val="10"/>
      <x:color rgb="FF243746"/>
      <x:name val="Aptos"/>
    </x:font>
    <x:font>
      <x:b/>
      <x:sz val="19"/>
      <x:color rgb="FFFFFFFF"/>
      <x:name val="Aptos Display"/>
    </x:font>
    <x:font>
      <x:sz val="10"/>
      <x:color rgb="FF5D6D7A"/>
      <x:name val="Aptos"/>
    </x:font>
    <x:font>
      <x:b/>
      <x:sz val="9"/>
      <x:color rgb="FF126B69"/>
      <x:name val="Aptos"/>
    </x:font>
    <x:font>
      <x:b/>
      <x:sz val="17"/>
      <x:color rgb="FF126B69"/>
      <x:name val="Aptos"/>
    </x:font>
    <x:font>
      <x:b/>
      <x:sz val="10"/>
      <x:color rgb="FFFFFFFF"/>
      <x:name val="Aptos"/>
    </x:font>
    <x:font>
      <x:b/>
      <x:sz val="10"/>
      <x:color rgb="FF285E42"/>
      <x:name val="Aptos"/>
    </x:font>
    <x:font>
      <x:b/>
      <x:sz val="10"/>
      <x:color rgb="FF244F7B"/>
      <x:name val="Aptos"/>
    </x:font>
    <x:font>
      <x:b/>
      <x:sz val="10"/>
      <x:color rgb="FF825117"/>
      <x:name val="Aptos"/>
    </x:font>
    <x:font>
      <x:b/>
      <x:sz val="10"/>
      <x:color rgb="FF634A7D"/>
      <x:name val="Aptos"/>
    </x:font>
    <x:font>
      <x:sz val="10"/>
      <x:color rgb="FF1759A5"/>
      <x:name val="Aptos"/>
    </x:font>
    <x:font>
      <x:b/>
      <x:sz val="10"/>
      <x:color rgb="FF243746"/>
      <x:name val="Aptos"/>
    </x:font>
    <x:font>
      <x:sz val="9"/>
      <x:color rgb="FF1759A5"/>
      <x:name val="Aptos"/>
    </x:font>
    <x:font>
      <x:sz val="9"/>
      <x:color rgb="FF5D6D7A"/>
      <x:name val="Aptos"/>
    </x:font>
    <x:font>
      <x:b/>
      <x:sz val="10"/>
      <x:color rgb="FF254D70"/>
      <x:name val="Aptos"/>
    </x:font>
    <x:font>
      <x:b/>
      <x:sz val="10"/>
      <x:color rgb="FF584576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32C40"/>
      </x:patternFill>
    </x:fill>
    <x:fill>
      <x:patternFill patternType="solid">
        <x:fgColor rgb="FFE9F0F4"/>
      </x:patternFill>
    </x:fill>
    <x:fill>
      <x:patternFill patternType="solid">
        <x:fgColor rgb="FFEEF5F3"/>
      </x:patternFill>
    </x:fill>
    <x:fill>
      <x:patternFill patternType="solid">
        <x:fgColor rgb="FFFFFFFF"/>
      </x:patternFill>
    </x:fill>
    <x:fill>
      <x:patternFill patternType="solid">
        <x:fgColor rgb="FFE4F1EA"/>
      </x:patternFill>
    </x:fill>
    <x:fill>
      <x:patternFill patternType="solid">
        <x:fgColor rgb="FFF2F6F8"/>
      </x:patternFill>
    </x:fill>
    <x:fill>
      <x:patternFill patternType="solid">
        <x:fgColor rgb="FFE8EFF8"/>
      </x:patternFill>
    </x:fill>
    <x:fill>
      <x:patternFill patternType="solid">
        <x:fgColor rgb="FFFFF0D8"/>
      </x:patternFill>
    </x:fill>
    <x:fill>
      <x:patternFill patternType="solid">
        <x:fgColor rgb="FFF0EBF6"/>
      </x:patternFill>
    </x:fill>
    <x:fill>
      <x:patternFill patternType="solid">
        <x:fgColor rgb="FFE4F1EA"/>
      </x:patternFill>
    </x:fill>
    <x:fill>
      <x:patternFill patternType="solid">
        <x:fgColor rgb="FFE7F0FA"/>
      </x:patternFill>
    </x:fill>
    <x:fill>
      <x:patternFill patternType="solid">
        <x:fgColor rgb="FFEEEAF6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8" borderId="1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horizontal="center" vertical="top" wrapText="1"/>
    </x:xf>
    <x:xf numFmtId="0" fontId="10" fillId="10" borderId="1" xfId="0" applyNumberFormat="1" applyFont="1" applyFill="1" applyBorder="1" applyAlignment="1">
      <x:alignment horizontal="center"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vertical="top" wrapText="1"/>
    </x:xf>
    <x:xf numFmtId="0" fontId="12" fillId="7" borderId="1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top" wrapText="1"/>
    </x:xf>
    <x:xf numFmtId="0" fontId="13" fillId="5" borderId="1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vertical="top" wrapText="1"/>
    </x:xf>
    <x:xf numFmtId="0" fontId="14" fillId="5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5" borderId="1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 wrapText="1"/>
    </x:xf>
    <x:xf numFmtId="0" fontId="7" fillId="11" borderId="0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horizontal="left" vertical="top" wrapText="1"/>
    </x:xf>
    <x:xf numFmtId="0" fontId="8" fillId="12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5" fillId="12" borderId="0" xfId="0" applyNumberFormat="1" applyFont="1" applyFill="1" applyBorder="1" applyAlignment="1">
      <x:alignment horizontal="center" vertical="top" wrapText="1"/>
    </x:xf>
    <x:xf numFmtId="0" fontId="15" fillId="12" borderId="0" xfId="0" applyNumberFormat="1" applyFont="1" applyFill="1" applyBorder="1" applyAlignment="1">
      <x:alignment vertical="top" wrapText="1"/>
    </x:xf>
    <x:xf numFmtId="0" fontId="15" fillId="12" borderId="0" xfId="0" applyNumberFormat="1" applyFont="1" applyFill="1" applyBorder="1" applyAlignment="1">
      <x:alignment horizontal="left" vertical="top" wrapText="1"/>
    </x:xf>
    <x:xf numFmtId="0" fontId="10" fillId="13" borderId="0" xfId="0" applyNumberFormat="1" applyFont="1" applyFill="1" applyBorder="1" applyAlignment="1">
      <x:alignment horizontal="center"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6" fillId="13" borderId="0" xfId="0" applyNumberFormat="1" applyFont="1" applyFill="1" applyBorder="1" applyAlignment="1">
      <x:alignment horizontal="center" vertical="top" wrapText="1"/>
    </x:xf>
    <x:xf numFmtId="0" fontId="16" fillId="13" borderId="0" xfId="0" applyNumberFormat="1" applyFont="1" applyFill="1" applyBorder="1" applyAlignment="1">
      <x:alignment vertical="top" wrapText="1"/>
    </x:xf>
    <x:xf numFmtId="0" fontId="16" fillId="13" borderId="0" xfId="0" applyNumberFormat="1" applyFont="1" applyFill="1" applyBorder="1" applyAlignment="1">
      <x:alignment horizontal="left" vertical="top" wrapText="1"/>
    </x:xf>
    <x:xf numFmtId="0" fontId="7" fillId="6" borderId="0" xfId="0" applyNumberFormat="1" applyFont="1" applyFill="1" applyBorder="1" applyAlignment="1">
      <x:alignment horizontal="left" vertical="top" wrapText="1"/>
    </x:xf>
    <x:xf numFmtId="0" fontId="7" fillId="14" borderId="0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horizontal="left" vertical="top" wrapText="1"/>
    </x:xf>
    <x:xf numFmtId="0" fontId="12" fillId="14" borderId="0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vertical="top" wrapText="1"/>
    </x:xf>
    <x:xf numFmtId="0" fontId="14" fillId="14" borderId="0" xfId="0" applyNumberFormat="1" applyFont="1" applyFill="1" applyBorder="1" applyAlignment="1">
      <x:alignment vertical="top" wrapText="1"/>
    </x:xf>
    <x:xf numFmtId="0" fontId="8" fillId="14" borderId="0" xfId="0" applyNumberFormat="1" applyFont="1" applyFill="1" applyBorder="1" applyAlignment="1">
      <x:alignment vertical="top" wrapText="1"/>
    </x:xf>
    <x:xf numFmtId="0" fontId="15" fillId="14" borderId="0" xfId="0" applyNumberFormat="1" applyFont="1" applyFill="1" applyBorder="1" applyAlignment="1">
      <x:alignment horizontal="left" vertical="top" wrapText="1"/>
    </x:xf>
    <x:xf numFmtId="0" fontId="10" fillId="14" borderId="0" xfId="0" applyNumberFormat="1" applyFont="1" applyFill="1" applyBorder="1" applyAlignment="1">
      <x:alignment vertical="top" wrapText="1"/>
    </x:xf>
    <x:xf numFmtId="0" fontId="16" fillId="14" borderId="0" xfId="0" applyNumberFormat="1" applyFont="1" applyFill="1" applyBorder="1" applyAlignment="1">
      <x:alignment horizontal="left"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horizontal="left" vertical="top" wrapText="1"/>
    </x:xf>
    <x:xf numFmtId="0" fontId="12" fillId="15" borderId="0" xfId="0" applyNumberFormat="1" applyFont="1" applyFill="1" applyBorder="1" applyAlignment="1">
      <x:alignment vertical="top" wrapText="1"/>
    </x:xf>
    <x:xf numFmtId="0" fontId="11" fillId="15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vertical="top" wrapText="1"/>
    </x:xf>
    <x:xf numFmtId="0" fontId="14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horizontal="left" vertical="top" wrapText="1"/>
    </x:xf>
    <x:xf numFmtId="0" fontId="10" fillId="15" borderId="0" xfId="0" applyNumberFormat="1" applyFont="1" applyFill="1" applyBorder="1" applyAlignment="1">
      <x:alignment vertical="top" wrapText="1"/>
    </x:xf>
    <x:xf numFmtId="0" fontId="16" fillId="15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9628c864848bb" /><Relationship Type="http://schemas.openxmlformats.org/officeDocument/2006/relationships/theme" Target="/xl/theme/theme1.xml" Id="R621d13d6e3ea4b3e" /><Relationship Type="http://schemas.openxmlformats.org/officeDocument/2006/relationships/sharedStrings" Target="/xl/sharedStrings.xml" Id="R3e58dae56fbb4f66" /><Relationship Type="http://schemas.openxmlformats.org/officeDocument/2006/relationships/worksheet" Target="/xl/worksheets/sheet1.xml" Id="Rca37204fe99944ad" /></Relationships>
</file>

<file path=xl/tables/table1.xml><?xml version="1.0" encoding="utf-8"?>
<x:table xmlns:x="http://schemas.openxmlformats.org/spreadsheetml/2006/main" id="1" name="GroupedVideoLessons" displayName="GroupedVideoLessons" ref="D7:P216" headerRowCount="1" totalsRowCount="0" totalsRowShown="0">
  <x:tableColumns count="13">
    <x:tableColumn id="1" name="Exact skill taught"/>
    <x:tableColumn id="2" name="Video / named lesson — click to open"/>
    <x:tableColumn id="3" name="Watch this section"/>
    <x:tableColumn id="4" name="Why it fits / suggested application"/>
    <x:tableColumn id="5" name="Learning role"/>
    <x:tableColumn id="6" name="Pathway / context"/>
    <x:tableColumn id="7" name="Provider / creator"/>
    <x:tableColumn id="8" name="Software / equipment"/>
    <x:tableColumn id="9" name="Access"/>
    <x:tableColumn id="10" name="Video / course URL"/>
    <x:tableColumn id="11" name="Source / evidence URL"/>
    <x:tableColumn id="12" name="Review basis"/>
    <x:tableColumn id="13" name="Scope / 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020984c5e04a59" /></Relationships>
</file>

<file path=xl/worksheets/sheet1.xml><?xml version="1.0" encoding="utf-8"?>
<x:worksheet xmlns:x="http://schemas.openxmlformats.org/spreadsheetml/2006/main">
  <x:sheetViews>
    <x:sheetView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33" hidden="0" customWidth="1"/>
    <x:col min="4" max="4" width="34" hidden="0" customWidth="1"/>
    <x:col min="5" max="5" width="40" hidden="0" customWidth="1"/>
    <x:col min="6" max="6" width="38" hidden="0" customWidth="1"/>
    <x:col min="7" max="7" width="40" hidden="0" customWidth="1"/>
    <x:col min="8" max="8" width="23" hidden="0" customWidth="1"/>
    <x:col min="9" max="9" width="19" hidden="0" customWidth="1"/>
    <x:col min="10" max="10" width="23" hidden="0" customWidth="1"/>
    <x:col min="11" max="11" width="25" hidden="0" customWidth="1"/>
    <x:col min="12" max="12" width="19" hidden="0" customWidth="1"/>
    <x:col min="13" max="13" width="38" hidden="0" customWidth="1"/>
    <x:col min="14" max="14" width="38" hidden="0" customWidth="1"/>
    <x:col min="15" max="15" width="33" hidden="0" customWidth="1"/>
    <x:col min="16" max="16" width="40" hidden="0" customWidth="1"/>
  </x:cols>
  <x:sheetData>
    <x:row r="1" ht="32" customHeight="1">
      <x:c r="A1" s="10" t="str">
        <x:v>VIDEO LIBRARY  |  MODULE-BY-MODULE LINKS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2" ht="25" customHeight="1">
      <x:c r="A2" s="17" t="str">
        <x:v>CURRICULUM LIBRARY · UPDATED 22 OCT 2026 · 45 modules and eight pathway options per level. Match each video to the exact skill taught.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17" customHeight="1">
      <x:c r="A3" s="24" t="str">
        <x:v>MODULE–LESSON LINKS</x:v>
      </x:c>
      <x:c r="B3" s="24"/>
      <x:c r="C3" s="24"/>
      <x:c r="D3" s="24" t="str">
        <x:v>BEGINNER</x:v>
      </x:c>
      <x:c r="E3" s="24"/>
      <x:c r="F3" s="24"/>
      <x:c r="G3" s="24" t="str">
        <x:v>INTERMEDIATE</x:v>
      </x:c>
      <x:c r="H3" s="24"/>
      <x:c r="I3" s="24"/>
      <x:c r="J3" s="24" t="str">
        <x:v>ADVANCED</x:v>
      </x:c>
      <x:c r="K3" s="24"/>
      <x:c r="L3" s="24"/>
      <x:c r="M3" s="24" t="str">
        <x:v>VISIBLE AFTER FILTERING</x:v>
      </x:c>
      <x:c r="N3" s="24"/>
      <x:c r="O3" s="24"/>
      <x:c r="P3" s="24"/>
    </x:row>
    <x:row r="4" ht="24" customHeight="1">
      <x:c r="A4" s="86" t="n">
        <x:f>COUNTA(M8:M216)</x:f>
        <x:v>209</x:v>
      </x:c>
      <x:c r="B4" s="86"/>
      <x:c r="C4" s="86"/>
      <x:c r="D4" s="86" t="n">
        <x:f>COUNTIF(A8:A216,"Beginner")</x:f>
        <x:v>64</x:v>
      </x:c>
      <x:c r="E4" s="86"/>
      <x:c r="F4" s="86"/>
      <x:c r="G4" s="86" t="n">
        <x:f>COUNTIF(A8:A216,"Intermediate")</x:f>
        <x:v>73</x:v>
      </x:c>
      <x:c r="H4" s="86"/>
      <x:c r="I4" s="86"/>
      <x:c r="J4" s="86" t="n">
        <x:f>COUNTIF(A8:A216,"Advanced")</x:f>
        <x:v>72</x:v>
      </x:c>
      <x:c r="K4" s="86"/>
      <x:c r="L4" s="86"/>
      <x:c r="M4" s="86" t="n">
        <x:f>SUBTOTAL(103,M8:M216)</x:f>
        <x:v>209</x:v>
      </x:c>
      <x:c r="N4" s="86"/>
      <x:c r="O4" s="86"/>
      <x:c r="P4" s="86"/>
    </x:row>
    <x:row r="5" ht="62" customHeight="1">
      <x:c r="A5" s="34" t="str">
        <x:v>Grouped module headings combine ID + name. Filter lesson fields; keep the original row order—sorting would separate lessons from their merged module heading. Titles open lessons. Timestamps are publisher-provided; untimed sections are labelled. Review uses transcripts, descriptions and syllabuses—not complete playback. Paid lessons are optional. Yellow rows: 17 AI hybrid lessons and 15 professional-skills lessons added on 22 Oct 2026. B-PS, I-PS and A-PS are separate modules before each final project. Learner-comment verification remains pending.</x:v>
      </x:c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</x:row>
    <x:row r="6" ht="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8" customHeight="1">
      <x:c r="A7" s="40" t="str">
        <x:v>Level</x:v>
      </x:c>
      <x:c r="B7" s="89" t="str">
        <x:v>Module ID &amp; name</x:v>
      </x:c>
      <x:c r="C7" s="89"/>
      <x:c r="D7" s="40" t="str">
        <x:v>Exact skill taught</x:v>
      </x:c>
      <x:c r="E7" s="40" t="str">
        <x:v>Video / named lesson — click to open</x:v>
      </x:c>
      <x:c r="F7" s="40" t="str">
        <x:v>Watch this section</x:v>
      </x:c>
      <x:c r="G7" s="40" t="str">
        <x:v>Why it fits / suggested application</x:v>
      </x:c>
      <x:c r="H7" s="40" t="str">
        <x:v>Learning role</x:v>
      </x:c>
      <x:c r="I7" s="40" t="str">
        <x:v>Pathway / context</x:v>
      </x:c>
      <x:c r="J7" s="40" t="str">
        <x:v>Provider / creator</x:v>
      </x:c>
      <x:c r="K7" s="40" t="str">
        <x:v>Software / equipment</x:v>
      </x:c>
      <x:c r="L7" s="40" t="str">
        <x:v>Access</x:v>
      </x:c>
      <x:c r="M7" s="40" t="str">
        <x:v>Video / course URL</x:v>
      </x:c>
      <x:c r="N7" s="40" t="str">
        <x:v>Source / evidence URL</x:v>
      </x:c>
      <x:c r="O7" s="40" t="str">
        <x:v>Review basis</x:v>
      </x:c>
      <x:c r="P7" s="40" t="str">
        <x:v>Scope / limitations</x:v>
      </x:c>
    </x:row>
    <x:row r="8" ht="64" customHeight="1">
      <x:c r="A8" s="48" t="str">
        <x:v>Beginner</x:v>
      </x:c>
      <x:c r="B8" s="93" t="str">
        <x:v>B01
Understanding video and communicating through images</x:v>
      </x:c>
      <x:c r="C8" s="93"/>
      <x:c r="D8" s="74" t="str">
        <x:v>Communicating a simple story with images</x:v>
      </x:c>
      <x:c r="E8" s="70" t="str">
        <x:f>IFERROR(HYPERLINK(M8,"Visual Storytelling in Filmmaking"),"Visual Storytelling in Filmmaking")</x:f>
        <x:v>Visual Storytelling in Filmmaking</x:v>
      </x:c>
      <x:c r="F8" s="44" t="str">
        <x:v>Whole focused lesson; no chapter markers verified</x:v>
      </x:c>
      <x:c r="G8" s="44" t="str">
        <x:v>Demonstrates visual storytelling rather than relying on dialogue. Use it to plan the six-image activity sequence.</x:v>
      </x:c>
      <x:c r="H8" s="44" t="str">
        <x:v>Core lesson</x:v>
      </x:c>
      <x:c r="I8" s="44" t="str">
        <x:v>All genres</x:v>
      </x:c>
      <x:c r="J8" s="44" t="str">
        <x:v>DSLRguide / Simon Cade</x:v>
      </x:c>
      <x:c r="K8" s="44" t="str">
        <x:v>Tool-independent</x:v>
      </x:c>
      <x:c r="L8" s="44" t="str">
        <x:v>Free lesson</x:v>
      </x:c>
      <x:c r="M8" s="78" t="str">
        <x:v>https://www.youtube.com/watch?v=4X5xvlTZpcY</x:v>
      </x:c>
      <x:c r="N8" s="78" t="str">
        <x:v>https://vimeo.com/127744356</x:v>
      </x:c>
      <x:c r="O8" s="82" t="str">
        <x:v>Creator's video description reviewed</x:v>
      </x:c>
      <x:c r="P8" s="82" t="str">
        <x:v>Practise the named skill; the video is not evidence of independent competence.</x:v>
      </x:c>
    </x:row>
    <x:row r="9" ht="64" customHeight="1">
      <x:c r="A9" s="48" t="str">
        <x:v>Beginner</x:v>
      </x:c>
      <x:c r="B9" s="93"/>
      <x:c r="C9" s="93"/>
      <x:c r="D9" s="74" t="str">
        <x:v>Recognising shot sizes and their purpose</x:v>
      </x:c>
      <x:c r="E9" s="70" t="str">
        <x:f>IFERROR(HYPERLINK(M9,"Ultimate Guide to Camera Shots: Every Shot
Size Explained"),"Ultimate Guide to Camera Shots: Every Shot
Size Explained")</x:f>
        <x:v>Ultimate Guide to Camera Shots: Every Shot
Size Explained</x:v>
      </x:c>
      <x:c r="F9" s="44" t="str">
        <x:v>Whole focused lesson; no chapter markers verified</x:v>
      </x:c>
      <x:c r="G9" s="44" t="str">
        <x:v>Explains the different information supplied by wide, medium and close shots. Identify those shot types in the learner's sequence.</x:v>
      </x:c>
      <x:c r="H9" s="44" t="str">
        <x:v>Core lesson</x:v>
      </x:c>
      <x:c r="I9" s="44" t="str">
        <x:v>All genres</x:v>
      </x:c>
      <x:c r="J9" s="44" t="str">
        <x:v>StudioBinder</x:v>
      </x:c>
      <x:c r="K9" s="44" t="str">
        <x:v>Tool-independent</x:v>
      </x:c>
      <x:c r="L9" s="44" t="str">
        <x:v>Free lesson</x:v>
      </x:c>
      <x:c r="M9" s="78" t="str">
        <x:v>https://www.youtube.com/watch?v=AyML8xuKfoc</x:v>
      </x:c>
      <x:c r="N9" s="78" t="str">
        <x:v>https://www.studiobinder.com/blog/types-of-camera-shots-sizes-in-film/</x:v>
      </x:c>
      <x:c r="O9" s="82" t="str">
        <x:v>Publisher explanation of shot-size video reviewed</x:v>
      </x:c>
      <x:c r="P9" s="82" t="str">
        <x:v>Practise the named skill; the video is not evidence of independent competence.</x:v>
      </x:c>
    </x:row>
    <x:row r="10" ht="64" customHeight="1">
      <x:c r="A10" s="48" t="str">
        <x:v>Beginner</x:v>
      </x:c>
      <x:c r="B10" s="93"/>
      <x:c r="C10" s="93"/>
      <x:c r="D10" s="74" t="str">
        <x:v>Image choices that convey meaning</x:v>
      </x:c>
      <x:c r="E10" s="70" t="str">
        <x:f>IFERROR(HYPERLINK(M10,"Storytelling with Cinematography"),"Storytelling with Cinematography")</x:f>
        <x:v>Storytelling with Cinematography</x:v>
      </x:c>
      <x:c r="F10" s="44" t="str">
        <x:v>Whole focused lesson; no chapter markers verified</x:v>
      </x:c>
      <x:c r="G10" s="44" t="str">
        <x:v>Connects cinematography decisions with what viewers understand. Ask learners to explain one meaningful shot choice, not imitate an entire film.</x:v>
      </x:c>
      <x:c r="H10" s="44" t="str">
        <x:v>Core lesson</x:v>
      </x:c>
      <x:c r="I10" s="44" t="str">
        <x:v>All genres</x:v>
      </x:c>
      <x:c r="J10" s="44" t="str">
        <x:v>DSLRguide</x:v>
      </x:c>
      <x:c r="K10" s="44" t="str">
        <x:v>Tool-independent</x:v>
      </x:c>
      <x:c r="L10" s="44" t="str">
        <x:v>Free lesson</x:v>
      </x:c>
      <x:c r="M10" s="78" t="str">
        <x:v>https://www.youtube.com/watch?v=SFgptwI8eEs</x:v>
      </x:c>
      <x:c r="N10" s="78" t="str">
        <x:v>https://vimeo.com/222530545</x:v>
      </x:c>
      <x:c r="O10" s="82" t="str">
        <x:v>Creator description reviewed</x:v>
      </x:c>
      <x:c r="P10" s="82" t="str">
        <x:v>Practise the named skill; the video is not evidence of independent competence.</x:v>
      </x:c>
    </x:row>
    <x:row r="11" ht="72" customHeight="1">
      <x:c r="A11" s="48" t="str">
        <x:v>Beginner</x:v>
      </x:c>
      <x:c r="B11" s="93"/>
      <x:c r="C11" s="93"/>
      <x:c r="D11" s="74" t="str">
        <x:v>Understanding production roles and the recording stage</x:v>
      </x:c>
      <x:c r="E11" s="70" t="str">
        <x:f>IFERROR(HYPERLINK(M11,"Film Production Explained — The Production
Process"),"Film Production Explained — The Production
Process")</x:f>
        <x:v>Film Production Explained — The Production
Process</x:v>
      </x:c>
      <x:c r="F11" s="44" t="str">
        <x:v>01:24 overview; selected planning/setup examples</x:v>
      </x:c>
      <x:c r="G11" s="44" t="str">
        <x:v>The principal-photography overview explains what happens when a crew records a film. Identify the responsibilities needed for the learner's small shoot.</x:v>
      </x:c>
      <x:c r="H11" s="44" t="str">
        <x:v>Supporting overview</x:v>
      </x:c>
      <x:c r="I11" s="44" t="str">
        <x:v>All genres</x:v>
      </x:c>
      <x:c r="J11" s="44" t="str">
        <x:v>StudioBinder</x:v>
      </x:c>
      <x:c r="K11" s="44" t="str">
        <x:v>Tool-independent</x:v>
      </x:c>
      <x:c r="L11" s="44" t="str">
        <x:v>Free lesson</x:v>
      </x:c>
      <x:c r="M11" s="78" t="str">
        <x:v>https://www.youtube.com/watch?v=puF9CkvmJt0</x:v>
      </x:c>
      <x:c r="N11" s="78" t="str">
        <x:v>https://www.youtube.com/watch?v=puF9CkvmJt0</x:v>
      </x:c>
      <x:c r="O11" s="82" t="str">
        <x:v>Creator description and chapter list reviewed</x:v>
      </x:c>
      <x:c r="P11" s="82" t="str">
        <x:v>Principal-photography episode, not a complete preproduction-to-postproduction course. Scale down crew examples.</x:v>
      </x:c>
    </x:row>
    <x:row r="12" ht="84" customHeight="1">
      <x:c r="A12" s="48" t="str">
        <x:v>Beginner</x:v>
      </x:c>
      <x:c r="B12" s="93" t="str">
        <x:v>B02
From an idea to a simple story plan</x:v>
      </x:c>
      <x:c r="C12" s="93"/>
      <x:c r="D12" s="75" t="str">
        <x:v>Writing a simple spoken-video outline</x:v>
      </x:c>
      <x:c r="E12" s="71" t="str">
        <x:f>IFERROR(HYPERLINK(M12,"How to Write a Script for a YouTube Video
(Made Easy!)"),"How to Write a Script for a YouTube Video
(Made Easy!)")</x:f>
        <x:v>How to Write a Script for a YouTube Video
(Made Easy!)</x:v>
      </x:c>
      <x:c r="F12" s="52" t="str">
        <x:v>Simple scripting method; no chapter markers verified</x:v>
      </x:c>
      <x:c r="G12" s="52" t="str">
        <x:v>Provides a scripting method for a short explanatory video. Apply it to the learner's introduction, demonstration or voiceover.</x:v>
      </x:c>
      <x:c r="H12" s="52" t="str">
        <x:v>Core lesson</x:v>
      </x:c>
      <x:c r="I12" s="52" t="str">
        <x:v>YouTube / transferable</x:v>
      </x:c>
      <x:c r="J12" s="52" t="str">
        <x:v>Think Media</x:v>
      </x:c>
      <x:c r="K12" s="52" t="str">
        <x:v>Tool-independent</x:v>
      </x:c>
      <x:c r="L12" s="52" t="str">
        <x:v>Free lesson</x:v>
      </x:c>
      <x:c r="M12" s="79" t="str">
        <x:v>https://www.youtube.com/watch?v=8s0i1LutAc4</x:v>
      </x:c>
      <x:c r="N12" s="79" t="str">
        <x:v>https://www.youtube.com/watch?v=8s0i1LutAc4</x:v>
      </x:c>
      <x:c r="O12" s="83" t="str">
        <x:v>Creator's lesson description reviewed</x:v>
      </x:c>
      <x:c r="P12" s="83" t="str">
        <x:v>Contains course promotion. A scripting approach, not a guarantee of views or channel growth. For observational or silent videos, use the outline structure rather than adding unnecessary narration.</x:v>
      </x:c>
    </x:row>
    <x:row r="13" ht="64" customHeight="1">
      <x:c r="A13" s="48" t="str">
        <x:v>Beginner</x:v>
      </x:c>
      <x:c r="B13" s="93"/>
      <x:c r="C13" s="93"/>
      <x:c r="D13" s="75" t="str">
        <x:v>One audience, objective and message</x:v>
      </x:c>
      <x:c r="E13" s="71" t="str">
        <x:f>IFERROR(HYPERLINK(M13,"What Is a Creative Brief? How to Write One
That Aligns Your Team"),"What Is a Creative Brief? How to Write One
That Aligns Your Team")</x:f>
        <x:v>What Is a Creative Brief? How to Write One
That Aligns Your Team</x:v>
      </x:c>
      <x:c r="F13" s="52" t="str">
        <x:v>00:39–02:07: audience, objective, deliverables</x:v>
      </x:c>
      <x:c r="G13" s="52" t="str">
        <x:v>The brief section identifies who the video serves and what it must communicate. Reduce it to a one-page beginner project plan.</x:v>
      </x:c>
      <x:c r="H13" s="52" t="str">
        <x:v>Core lesson</x:v>
      </x:c>
      <x:c r="I13" s="52" t="str">
        <x:v>All genres</x:v>
      </x:c>
      <x:c r="J13" s="52" t="str">
        <x:v>Ziflow</x:v>
      </x:c>
      <x:c r="K13" s="52" t="str">
        <x:v>Tool-independent</x:v>
      </x:c>
      <x:c r="L13" s="52" t="str">
        <x:v>Free lesson</x:v>
      </x:c>
      <x:c r="M13" s="79" t="str">
        <x:v>https://www.youtube.com/watch?v=ViDQfqfxWdQ</x:v>
      </x:c>
      <x:c r="N13" s="79" t="str">
        <x:v>https://www.youtube.com/watch?v=ViDQfqfxWdQ</x:v>
      </x:c>
      <x:c r="O13" s="83" t="str">
        <x:v>Creator description and published topics reviewed</x:v>
      </x:c>
      <x:c r="P13" s="83" t="str">
        <x:v>Business-brief example; complex stakeholder coordination is not a beginner requirement.</x:v>
      </x:c>
    </x:row>
    <x:row r="14" ht="64" customHeight="1">
      <x:c r="A14" s="48" t="str">
        <x:v>Beginner</x:v>
      </x:c>
      <x:c r="B14" s="93"/>
      <x:c r="C14" s="93"/>
      <x:c r="D14" s="75" t="str">
        <x:v>Turning an outline into rough visual panels</x:v>
      </x:c>
      <x:c r="E14" s="71" t="str">
        <x:f>IFERROR(HYPERLINK(M14,"What is a Storyboard and How to Make One"),"What is a Storyboard and How to Make One")</x:f>
        <x:v>What is a Storyboard and How to Make One</x:v>
      </x:c>
      <x:c r="F14" s="52" t="str">
        <x:v>Whole focused lesson; no chapter markers verified</x:v>
      </x:c>
      <x:c r="G14" s="52" t="str">
        <x:v>Shows storyboard images and descriptions. Sketch equivalent panels on paper; owning the demonstrated software is unnecessary.</x:v>
      </x:c>
      <x:c r="H14" s="52" t="str">
        <x:v>Supporting lesson</x:v>
      </x:c>
      <x:c r="I14" s="52" t="str">
        <x:v>All genres</x:v>
      </x:c>
      <x:c r="J14" s="52" t="str">
        <x:v>StudioBinder Academy</x:v>
      </x:c>
      <x:c r="K14" s="52" t="str">
        <x:v>StudioBinder</x:v>
      </x:c>
      <x:c r="L14" s="52" t="str">
        <x:v>Free lesson</x:v>
      </x:c>
      <x:c r="M14" s="79" t="str">
        <x:v>https://www.youtube.com/watch?v=Wnbo_PVfMfE</x:v>
      </x:c>
      <x:c r="N14" s="79" t="str">
        <x:v>https://www.youtube.com/watch?v=Wnbo_PVfMfE</x:v>
      </x:c>
      <x:c r="O14" s="83" t="str">
        <x:v>Creator description and published topics reviewed</x:v>
      </x:c>
      <x:c r="P14" s="83" t="str">
        <x:v>Software walkthrough, not a complete storyboard theory lesson; freehand boards remain valid.</x:v>
      </x:c>
    </x:row>
    <x:row r="15" ht="96" customHeight="1">
      <x:c r="A15" s="105" t="str">
        <x:v>Beginner</x:v>
      </x:c>
      <x:c r="B15" s="106"/>
      <x:c r="C15" s="106"/>
      <x:c r="D15" s="107" t="str">
        <x:v>AI-assisted storyboarding for a practical shoot</x:v>
      </x:c>
      <x:c r="E15" s="108" t="str">
        <x:f>IFERROR(HYPERLINK(M15,"How to Make a Storyboard with AI"),"How to Make a Storyboard with AI")</x:f>
        <x:v>How to Make a Storyboard with AI</x:v>
      </x:c>
      <x:c r="F15" s="109" t="str">
        <x:v>Whole focused tutorial / case study; chapter timestamps not verified</x:v>
      </x:c>
      <x:c r="G15" s="109" t="str">
        <x:v>Develop storyboard options from a script. Check shot coverage and filming feasibility before making the final shot list.</x:v>
      </x:c>
      <x:c r="H15" s="109" t="str">
        <x:v>AI hybrid lesson (B-AI01)</x:v>
      </x:c>
      <x:c r="I15" s="109" t="str">
        <x:v>All genres</x:v>
      </x:c>
      <x:c r="J15" s="109" t="str">
        <x:v>LTX Studio</x:v>
      </x:c>
      <x:c r="K15" s="109" t="str">
        <x:v>LTX Studio</x:v>
      </x:c>
      <x:c r="L15" s="109" t="str">
        <x:v>Free YouTube video; tool access may be paid</x:v>
      </x:c>
      <x:c r="M15" s="110" t="str">
        <x:v>https://www.youtube.com/watch?v=8lueOj9XPtg</x:v>
      </x:c>
      <x:c r="N15" s="110" t="str">
        <x:v>https://www.youtube.com/watch?v=8lueOj9XPtg</x:v>
      </x:c>
      <x:c r="O15" s="111" t="str">
        <x:v>Description / publisher references reviewed; learner comments and counts unverified</x:v>
      </x:c>
      <x:c r="P15" s="111" t="str">
        <x:v>Use the storyboard workflow; motion generation is outside this lesson.</x:v>
      </x:c>
    </x:row>
    <x:row r="16" ht="64" customHeight="1">
      <x:c r="A16" s="48" t="str">
        <x:v>Beginner</x:v>
      </x:c>
      <x:c r="B16" s="104" t="str">
        <x:v>B03
Shot lists, preparation and responsible filming</x:v>
      </x:c>
      <x:c r="C16" s="104"/>
      <x:c r="D16" s="74" t="str">
        <x:v>Creating a usable shot list</x:v>
      </x:c>
      <x:c r="E16" s="70" t="str">
        <x:f>IFERROR(HYPERLINK(M16,"Intro to Shot Listing"),"Intro to Shot Listing")</x:f>
        <x:v>Intro to Shot Listing</x:v>
      </x:c>
      <x:c r="F16" s="44" t="str">
        <x:v>Whole focused lesson; no chapter markers verified</x:v>
      </x:c>
      <x:c r="G16" s="44" t="str">
        <x:v>Teaches shot-list fields and planning individual shots. Build the six-to-ten-shot checklist for the activity video.</x:v>
      </x:c>
      <x:c r="H16" s="44" t="str">
        <x:v>Core lesson</x:v>
      </x:c>
      <x:c r="I16" s="44" t="str">
        <x:v>All genres</x:v>
      </x:c>
      <x:c r="J16" s="44" t="str">
        <x:v>StudioBinder</x:v>
      </x:c>
      <x:c r="K16" s="44" t="str">
        <x:v>StudioBinder; principles transferable</x:v>
      </x:c>
      <x:c r="L16" s="44" t="str">
        <x:v>Free lesson</x:v>
      </x:c>
      <x:c r="M16" s="78" t="str">
        <x:v>https://www.studiobinder.com/tutorials/visualize/intro-to-shot-list/</x:v>
      </x:c>
      <x:c r="N16" s="78" t="str">
        <x:v>https://www.studiobinder.com/tutorials/visualize/intro-to-shot-list/</x:v>
      </x:c>
      <x:c r="O16" s="82" t="str">
        <x:v>Publisher's named video lessons reviewed</x:v>
      </x:c>
      <x:c r="P16" s="82" t="str">
        <x:v>Practise the named skill; the video is not evidence of independent competence.</x:v>
      </x:c>
    </x:row>
    <x:row r="17" ht="64" customHeight="1">
      <x:c r="A17" s="48" t="str">
        <x:v>Beginner</x:v>
      </x:c>
      <x:c r="B17" s="104"/>
      <x:c r="C17" s="104"/>
      <x:c r="D17" s="74" t="str">
        <x:v>Checking a filming location before the shoot</x:v>
      </x:c>
      <x:c r="E17" s="70" t="str">
        <x:f>IFERROR(HYPERLINK(M17,"8 Keys to Location Scouting Like a Pro"),"8 Keys to Location Scouting Like a Pro")</x:f>
        <x:v>8 Keys to Location Scouting Like a Pro</x:v>
      </x:c>
      <x:c r="F17" s="44" t="str">
        <x:v>Scout checklist: noise, space, power, weather, sun and permissions</x:v>
      </x:c>
      <x:c r="G17" s="44" t="str">
        <x:v>The scout checklist directly addresses noise, usable space, power and daylight. Record these checks before choosing equipment.</x:v>
      </x:c>
      <x:c r="H17" s="44" t="str">
        <x:v>Core lesson</x:v>
      </x:c>
      <x:c r="I17" s="44" t="str">
        <x:v>All genres</x:v>
      </x:c>
      <x:c r="J17" s="44" t="str">
        <x:v>StudioBinder</x:v>
      </x:c>
      <x:c r="K17" s="44" t="str">
        <x:v>Tool-independent</x:v>
      </x:c>
      <x:c r="L17" s="44" t="str">
        <x:v>Free lesson</x:v>
      </x:c>
      <x:c r="M17" s="78" t="str">
        <x:v>https://www.youtube.com/watch?v=wr-7PwdMaWk</x:v>
      </x:c>
      <x:c r="N17" s="78" t="str">
        <x:v>https://www.youtube.com/watch?v=wr-7PwdMaWk</x:v>
      </x:c>
      <x:c r="O17" s="82" t="str">
        <x:v>Published transcript reviewed</x:v>
      </x:c>
      <x:c r="P17" s="82" t="str">
        <x:v>Practise the named skill; the video is not evidence of independent competence.</x:v>
      </x:c>
    </x:row>
    <x:row r="18" ht="64" customHeight="1">
      <x:c r="A18" s="48" t="str">
        <x:v>Beginner</x:v>
      </x:c>
      <x:c r="B18" s="104"/>
      <x:c r="C18" s="104"/>
      <x:c r="D18" s="74" t="str">
        <x:v>Explaining recording and obtaining consent</x:v>
      </x:c>
      <x:c r="E18" s="70" t="str">
        <x:f>IFERROR(HYPERLINK(M18,"Interviewing Techniques — Obtaining
Informed Consent"),"Interviewing Techniques — Obtaining
Informed Consent")</x:f>
        <x:v>Interviewing Techniques — Obtaining
Informed Consent</x:v>
      </x:c>
      <x:c r="F18" s="44" t="str">
        <x:v>Informed consent demonstration</x:v>
      </x:c>
      <x:c r="G18" s="44" t="str">
        <x:v>Demonstrates an informed-consent conversation. Practise explaining the recording purpose and intended use before filming a participant.</x:v>
      </x:c>
      <x:c r="H18" s="44" t="str">
        <x:v>Core lesson</x:v>
      </x:c>
      <x:c r="I18" s="44" t="str">
        <x:v>All genres</x:v>
      </x:c>
      <x:c r="J18" s="44" t="str">
        <x:v>WITNESS</x:v>
      </x:c>
      <x:c r="K18" s="44" t="str">
        <x:v>Tool-independent</x:v>
      </x:c>
      <x:c r="L18" s="44" t="str">
        <x:v>Free lesson</x:v>
      </x:c>
      <x:c r="M18" s="78" t="str">
        <x:v>https://www.youtube.com/watch?v=VWAHkHLpZ1Q</x:v>
      </x:c>
      <x:c r="N18" s="78" t="str">
        <x:v>https://library.witness.org/product/interviewing-techniques-obtaining-informed-consent/</x:v>
      </x:c>
      <x:c r="O18" s="82" t="str">
        <x:v>Publisher video page and accompanying instructions reviewed</x:v>
      </x:c>
      <x:c r="P18" s="82" t="str">
        <x:v>Human-rights context. Ethical guidance, not a substitute for local legal advice or a full release agreement.</x:v>
      </x:c>
    </x:row>
    <x:row r="19" ht="84" customHeight="1">
      <x:c r="A19" s="48" t="str">
        <x:v>Beginner</x:v>
      </x:c>
      <x:c r="B19" s="104"/>
      <x:c r="C19" s="104"/>
      <x:c r="D19" s="74" t="str">
        <x:v>Planning to protect original recordings</x:v>
      </x:c>
      <x:c r="E19" s="70" t="str">
        <x:f>IFERROR(HYPERLINK(M19,"Planning to Preserve Video for Human Rights"),"Planning to Preserve Video for Human Rights")</x:f>
        <x:v>Planning to Preserve Video for Human Rights</x:v>
      </x:c>
      <x:c r="F19" s="44" t="str">
        <x:v>Named video: Planning to Preserve Video for Human Rights</x:v>
      </x:c>
      <x:c r="G19" s="44" t="str">
        <x:v>Introduces preservation planning before capture. Establish who keeps the originals and where additional copies will be held.</x:v>
      </x:c>
      <x:c r="H19" s="44" t="str">
        <x:v>Supporting lesson</x:v>
      </x:c>
      <x:c r="I19" s="44" t="str">
        <x:v>All genres</x:v>
      </x:c>
      <x:c r="J19" s="44" t="str">
        <x:v>WITNESS</x:v>
      </x:c>
      <x:c r="K19" s="44" t="str">
        <x:v>Tool-independent</x:v>
      </x:c>
      <x:c r="L19" s="44" t="str">
        <x:v>Free lesson</x:v>
      </x:c>
      <x:c r="M19" s="78" t="str">
        <x:v>https://www.youtube.com/watch?v=9I3P0gI1BkM</x:v>
      </x:c>
      <x:c r="N19" s="78" t="str">
        <x:v>https://www.witness.org/portfolio_page/how-to-preserve-your-videos/</x:v>
      </x:c>
      <x:c r="O19" s="82" t="str">
        <x:v>Publisher identifies video and preservation topics</x:v>
      </x:c>
      <x:c r="P19" s="82" t="str">
        <x:v>Preservation principles; not a demonstrated editing-project relink exercise. The instructor must demonstrate the actual copy-and-check procedure; this video does not prove backup competence.</x:v>
      </x:c>
    </x:row>
    <x:row r="20" ht="96" customHeight="1">
      <x:c r="A20" s="105" t="str">
        <x:v>Beginner</x:v>
      </x:c>
      <x:c r="B20" s="106"/>
      <x:c r="C20" s="106"/>
      <x:c r="D20" s="107" t="str">
        <x:v>AI-assisted script breakdown and manual checking</x:v>
      </x:c>
      <x:c r="E20" s="108" t="str">
        <x:f>IFERROR(HYPERLINK(M20,"Script Breakdown: Filmustage Tutorial"),"Script Breakdown: Filmustage Tutorial")</x:f>
        <x:v>Script Breakdown: Filmustage Tutorial</x:v>
      </x:c>
      <x:c r="F20" s="109" t="str">
        <x:v>Whole focused tutorial / case study; chapter timestamps not verified</x:v>
      </x:c>
      <x:c r="G20" s="109" t="str">
        <x:v>Identify cast, props and locations, then check every requirement against the script before preparing the shoot.</x:v>
      </x:c>
      <x:c r="H20" s="109" t="str">
        <x:v>AI hybrid lesson (B-AI02)</x:v>
      </x:c>
      <x:c r="I20" s="109" t="str">
        <x:v>All genres</x:v>
      </x:c>
      <x:c r="J20" s="109" t="str">
        <x:v>James K Martin</x:v>
      </x:c>
      <x:c r="K20" s="109" t="str">
        <x:v>Filmustage</x:v>
      </x:c>
      <x:c r="L20" s="109" t="str">
        <x:v>Free YouTube video; tool access may be paid</x:v>
      </x:c>
      <x:c r="M20" s="110" t="str">
        <x:v>https://www.youtube.com/watch?v=ZRK3LqUhjzg</x:v>
      </x:c>
      <x:c r="N20" s="110" t="str">
        <x:v>https://www.youtube.com/watch?v=ZRK3LqUhjzg</x:v>
      </x:c>
      <x:c r="O20" s="111" t="str">
        <x:v>Description / publisher references reviewed; learner comments and counts unverified</x:v>
      </x:c>
      <x:c r="P20" s="111" t="str">
        <x:v>2022 interface. Current screens and plans may differ.</x:v>
      </x:c>
    </x:row>
    <x:row r="21" ht="64" customHeight="1">
      <x:c r="A21" s="48" t="str">
        <x:v>Beginner</x:v>
      </x:c>
      <x:c r="B21" s="104" t="str">
        <x:v>B04
Camera operation and usable image capture</x:v>
      </x:c>
      <x:c r="C21" s="104"/>
      <x:c r="D21" s="75" t="str">
        <x:v>Exposure, recording settings and white balance</x:v>
      </x:c>
      <x:c r="E21" s="71" t="str">
        <x:f>IFERROR(HYPERLINK(M21,"Basic CAMERA SETTINGS for beginners
filmmaking"),"Basic CAMERA SETTINGS for beginners
filmmaking")</x:f>
        <x:v>Basic CAMERA SETTINGS for beginners
filmmaking</x:v>
      </x:c>
      <x:c r="F21" s="52" t="str">
        <x:v>00:18 manual/resolution; 01:05 frame rate; 03:16 white balance; 04:25 exposure</x:v>
      </x:c>
      <x:c r="G21" s="52" t="str">
        <x:v>Introduces the camera controls required for a usable recording. Apply the settings to the learner's own device and check the result.</x:v>
      </x:c>
      <x:c r="H21" s="52" t="str">
        <x:v>Core lesson</x:v>
      </x:c>
      <x:c r="I21" s="52" t="str">
        <x:v>All genres</x:v>
      </x:c>
      <x:c r="J21" s="52" t="str">
        <x:v>Steve Ramsden</x:v>
      </x:c>
      <x:c r="K21" s="52" t="str">
        <x:v>Tool-independent</x:v>
      </x:c>
      <x:c r="L21" s="52" t="str">
        <x:v>Free lesson</x:v>
      </x:c>
      <x:c r="M21" s="79" t="str">
        <x:v>https://www.youtube.com/watch?v=nxKt0FrEges</x:v>
      </x:c>
      <x:c r="N21" s="79" t="str">
        <x:v>https://www.youtube.com/watch?v=nxKt0FrEges</x:v>
      </x:c>
      <x:c r="O21" s="83" t="str">
        <x:v>Creator chapters and explanation reviewed</x:v>
      </x:c>
      <x:c r="P21" s="83" t="str">
        <x:v>Practise the named skill; the video is not evidence of independent competence.</x:v>
      </x:c>
    </x:row>
    <x:row r="22" ht="64" customHeight="1">
      <x:c r="A22" s="48" t="str">
        <x:v>Beginner</x:v>
      </x:c>
      <x:c r="B22" s="104"/>
      <x:c r="C22" s="104"/>
      <x:c r="D22" s="75" t="str">
        <x:v>Aperture and exposure trade-offs</x:v>
      </x:c>
      <x:c r="E22" s="71" t="str">
        <x:f>IFERROR(HYPERLINK(M22,"Ultimate Guide to Camera Aperture and the
Exposure Triangle"),"Ultimate Guide to Camera Aperture and the
Exposure Triangle")</x:f>
        <x:v>Ultimate Guide to Camera Aperture and the
Exposure Triangle</x:v>
      </x:c>
      <x:c r="F22" s="52" t="str">
        <x:v>Whole focused lesson; no chapter markers verified</x:v>
      </x:c>
      <x:c r="G22" s="52" t="str">
        <x:v>Explains aperture within exposure control. Compare two aperture choices while keeping the subject appropriately exposed.</x:v>
      </x:c>
      <x:c r="H22" s="52" t="str">
        <x:v>Core lesson</x:v>
      </x:c>
      <x:c r="I22" s="52" t="str">
        <x:v>All genres</x:v>
      </x:c>
      <x:c r="J22" s="52" t="str">
        <x:v>StudioBinder</x:v>
      </x:c>
      <x:c r="K22" s="52" t="str">
        <x:v>Tool-independent</x:v>
      </x:c>
      <x:c r="L22" s="52" t="str">
        <x:v>Free lesson</x:v>
      </x:c>
      <x:c r="M22" s="79" t="str">
        <x:v>https://www.youtube.com/watch?v=SOrROvRx-XM</x:v>
      </x:c>
      <x:c r="N22" s="79" t="str">
        <x:v>https://www.youtube.com/watch?v=SOrROvRx-XM</x:v>
      </x:c>
      <x:c r="O22" s="83" t="str">
        <x:v>Creator description and chapter list reviewed</x:v>
      </x:c>
      <x:c r="P22" s="83" t="str">
        <x:v>Practise the named skill; the video is not evidence of independent competence.</x:v>
      </x:c>
    </x:row>
    <x:row r="23" ht="64" customHeight="1">
      <x:c r="A23" s="48" t="str">
        <x:v>Beginner</x:v>
      </x:c>
      <x:c r="B23" s="104"/>
      <x:c r="C23" s="104"/>
      <x:c r="D23" s="75" t="str">
        <x:v>Setting consistent white balance</x:v>
      </x:c>
      <x:c r="E23" s="71" t="str">
        <x:f>IFERROR(HYPERLINK(M23,"Color Temperature Explained: White Balance
Fundamentals"),"Color Temperature Explained: White Balance
Fundamentals")</x:f>
        <x:v>Color Temperature Explained: White Balance
Fundamentals</x:v>
      </x:c>
      <x:c r="F23" s="52" t="str">
        <x:v>Whole focused lesson; no chapter markers verified</x:v>
      </x:c>
      <x:c r="G23" s="52" t="str">
        <x:v>Explains light colour and white balance. Compare an unintended colour cast with a corrected recording.</x:v>
      </x:c>
      <x:c r="H23" s="52" t="str">
        <x:v>Core lesson</x:v>
      </x:c>
      <x:c r="I23" s="52" t="str">
        <x:v>All genres</x:v>
      </x:c>
      <x:c r="J23" s="52" t="str">
        <x:v>StudioBinder</x:v>
      </x:c>
      <x:c r="K23" s="52" t="str">
        <x:v>Tool-independent</x:v>
      </x:c>
      <x:c r="L23" s="52" t="str">
        <x:v>Free lesson</x:v>
      </x:c>
      <x:c r="M23" s="79" t="str">
        <x:v>https://www.youtube.com/watch?v=APLq7aPlDhk</x:v>
      </x:c>
      <x:c r="N23" s="79" t="str">
        <x:v>https://www.youtube.com/watch?v=APLq7aPlDhk</x:v>
      </x:c>
      <x:c r="O23" s="83" t="str">
        <x:v>Creator description and chapter list reviewed</x:v>
      </x:c>
      <x:c r="P23" s="83" t="str">
        <x:v>Practise the named skill; the video is not evidence of independent competence.</x:v>
      </x:c>
    </x:row>
    <x:row r="24" ht="64" customHeight="1">
      <x:c r="A24" s="48" t="str">
        <x:v>Beginner</x:v>
      </x:c>
      <x:c r="B24" s="104"/>
      <x:c r="C24" s="104"/>
      <x:c r="D24" s="75" t="str">
        <x:v>Deep versus shallow focus</x:v>
      </x:c>
      <x:c r="E24" s="71" t="str">
        <x:f>IFERROR(HYPERLINK(M24,"Depth of Field Explained: Guide to Camera
Focus"),"Depth of Field Explained: Guide to Camera
Focus")</x:f>
        <x:v>Depth of Field Explained: Guide to Camera
Focus</x:v>
      </x:c>
      <x:c r="F24" s="52" t="str">
        <x:v>01:35 deep focus; 03:32 shallow focus</x:v>
      </x:c>
      <x:c r="G24" s="52" t="str">
        <x:v>Shows how depth of field changes what is sharp. Recreate a simple foreground/background comparison.</x:v>
      </x:c>
      <x:c r="H24" s="52" t="str">
        <x:v>Supporting lesson</x:v>
      </x:c>
      <x:c r="I24" s="52" t="str">
        <x:v>All genres</x:v>
      </x:c>
      <x:c r="J24" s="52" t="str">
        <x:v>StudioBinder</x:v>
      </x:c>
      <x:c r="K24" s="52" t="str">
        <x:v>Tool-independent</x:v>
      </x:c>
      <x:c r="L24" s="52" t="str">
        <x:v>Free lesson</x:v>
      </x:c>
      <x:c r="M24" s="79" t="str">
        <x:v>https://www.youtube.com/watch?v=ZGNUqNFfD8M</x:v>
      </x:c>
      <x:c r="N24" s="79" t="str">
        <x:v>https://www.youtube.com/watch?v=ZGNUqNFfD8M</x:v>
      </x:c>
      <x:c r="O24" s="83" t="str">
        <x:v>Creator description and chapter list reviewed</x:v>
      </x:c>
      <x:c r="P24" s="83" t="str">
        <x:v>Focus aesthetics and depth of field, not an autofocus-menu or focus-peaking tutorial. Skip split-diopter and tilt-shift sections at this level.</x:v>
      </x:c>
    </x:row>
    <x:row r="25" ht="96" customHeight="1">
      <x:c r="A25" s="105" t="str">
        <x:v>Beginner</x:v>
      </x:c>
      <x:c r="B25" s="106"/>
      <x:c r="C25" s="106"/>
      <x:c r="D25" s="107" t="str">
        <x:v>AI-assisted framing during recording</x:v>
      </x:c>
      <x:c r="E25" s="108" t="str">
        <x:f>IFERROR(HYPERLINK(M25,"AI-based Auto Framing with Sony ZV-E1"),"AI-based Auto Framing with Sony ZV-E1")</x:f>
        <x:v>AI-based Auto Framing with Sony ZV-E1</x:v>
      </x:c>
      <x:c r="F25" s="109" t="str">
        <x:v>Whole focused tutorial / case study; chapter timestamps not verified</x:v>
      </x:c>
      <x:c r="G25" s="109" t="str">
        <x:v>Record a moving participant and compare automatic framing with a manually composed shot.</x:v>
      </x:c>
      <x:c r="H25" s="109" t="str">
        <x:v>AI hybrid lesson (B-AI03)</x:v>
      </x:c>
      <x:c r="I25" s="109" t="str">
        <x:v>All genres</x:v>
      </x:c>
      <x:c r="J25" s="109" t="str">
        <x:v>Sony</x:v>
      </x:c>
      <x:c r="K25" s="109" t="str">
        <x:v>Sony ZV-E1</x:v>
      </x:c>
      <x:c r="L25" s="109" t="str">
        <x:v>Free YouTube video; tool access may be paid</x:v>
      </x:c>
      <x:c r="M25" s="110" t="str">
        <x:v>https://www.youtube.com/watch?v=AfeStqS7k80</x:v>
      </x:c>
      <x:c r="N25" s="110" t="str">
        <x:v>https://www.youtube.com/watch?v=AfeStqS7k80</x:v>
      </x:c>
      <x:c r="O25" s="111" t="str">
        <x:v>Description / publisher references reviewed; learner comments and counts unverified</x:v>
      </x:c>
      <x:c r="P25" s="111" t="str">
        <x:v>Optional camera-specific lesson; requires compatible equipment.</x:v>
      </x:c>
    </x:row>
    <x:row r="26" ht="64" customHeight="1">
      <x:c r="A26" s="48" t="str">
        <x:v>Beginner</x:v>
      </x:c>
      <x:c r="B26" s="104" t="str">
        <x:v>B05
Composition and filming an editable sequence</x:v>
      </x:c>
      <x:c r="C26" s="104"/>
      <x:c r="D26" s="74" t="str">
        <x:v>Wide, medium and detail coverage</x:v>
      </x:c>
      <x:c r="E26" s="70" t="str">
        <x:f>IFERROR(HYPERLINK(M26,"Ultimate Guide to Camera Shots: Every Shot
Size Explained"),"Ultimate Guide to Camera Shots: Every Shot
Size Explained")</x:f>
        <x:v>Ultimate Guide to Camera Shots: Every Shot
Size Explained</x:v>
      </x:c>
      <x:c r="F26" s="44" t="str">
        <x:v>Whole focused lesson; no chapter markers verified</x:v>
      </x:c>
      <x:c r="G26" s="44" t="str">
        <x:v>Use the shot-size explanations to cover one complete activity. The exercise is useful coverage, not collecting every possible shot size.</x:v>
      </x:c>
      <x:c r="H26" s="44" t="str">
        <x:v>Core lesson</x:v>
      </x:c>
      <x:c r="I26" s="44" t="str">
        <x:v>All genres</x:v>
      </x:c>
      <x:c r="J26" s="44" t="str">
        <x:v>StudioBinder</x:v>
      </x:c>
      <x:c r="K26" s="44" t="str">
        <x:v>Tool-independent</x:v>
      </x:c>
      <x:c r="L26" s="44" t="str">
        <x:v>Free lesson</x:v>
      </x:c>
      <x:c r="M26" s="78" t="str">
        <x:v>https://www.youtube.com/watch?v=AyML8xuKfoc</x:v>
      </x:c>
      <x:c r="N26" s="78" t="str">
        <x:v>https://www.studiobinder.com/blog/types-of-camera-shots-sizes-in-film/</x:v>
      </x:c>
      <x:c r="O26" s="82" t="str">
        <x:v>Publisher explanation of shot-size video reviewed</x:v>
      </x:c>
      <x:c r="P26" s="82" t="str">
        <x:v>Practise the named skill; the video is not evidence of independent competence.</x:v>
      </x:c>
    </x:row>
    <x:row r="27" ht="64" customHeight="1">
      <x:c r="A27" s="48" t="str">
        <x:v>Beginner</x:v>
      </x:c>
      <x:c r="B27" s="104"/>
      <x:c r="C27" s="104"/>
      <x:c r="D27" s="74" t="str">
        <x:v>Framing, space, balance and background depth</x:v>
      </x:c>
      <x:c r="E27" s="70" t="str">
        <x:f>IFERROR(HYPERLINK(M27,"Ultimate Guide to Film Composition &amp;
Framing"),"Ultimate Guide to Film Composition &amp;
Framing")</x:f>
        <x:v>Ultimate Guide to Film Composition &amp;
Framing</x:v>
      </x:c>
      <x:c r="F27" s="44" t="str">
        <x:v>01:59 points; 03:28 lines; 06:57 space; 08:19 depth; 09:48 balance</x:v>
      </x:c>
      <x:c r="G27" s="44" t="str">
        <x:v>Explains concrete composition choices. Improve one distracting frame by repositioning the camera or subject.</x:v>
      </x:c>
      <x:c r="H27" s="44" t="str">
        <x:v>Core lesson</x:v>
      </x:c>
      <x:c r="I27" s="44" t="str">
        <x:v>All genres</x:v>
      </x:c>
      <x:c r="J27" s="44" t="str">
        <x:v>StudioBinder</x:v>
      </x:c>
      <x:c r="K27" s="44" t="str">
        <x:v>Tool-independent</x:v>
      </x:c>
      <x:c r="L27" s="44" t="str">
        <x:v>Free lesson</x:v>
      </x:c>
      <x:c r="M27" s="78" t="str">
        <x:v>https://www.youtube.com/watch?v=hUmZldt0DTg</x:v>
      </x:c>
      <x:c r="N27" s="78" t="str">
        <x:v>https://www.youtube.com/watch?v=hUmZldt0DTg</x:v>
      </x:c>
      <x:c r="O27" s="82" t="str">
        <x:v>Creator description and chapter list reviewed</x:v>
      </x:c>
      <x:c r="P27" s="82" t="str">
        <x:v>Practise the named skill; the video is not evidence of independent competence.</x:v>
      </x:c>
    </x:row>
    <x:row r="28" ht="64" customHeight="1">
      <x:c r="A28" s="48" t="str">
        <x:v>Beginner</x:v>
      </x:c>
      <x:c r="B28" s="104"/>
      <x:c r="C28" s="104"/>
      <x:c r="D28" s="74" t="str">
        <x:v>Keeping screen direction understandable</x:v>
      </x:c>
      <x:c r="E28" s="70" t="str">
        <x:f>IFERROR(HYPERLINK(M28,"The 180 Degree Rule in Film (and How to
Break the Line)"),"The 180 Degree Rule in Film (and How to
Break the Line)")</x:f>
        <x:v>The 180 Degree Rule in Film (and How to
Break the Line)</x:v>
      </x:c>
      <x:c r="F28" s="44" t="str">
        <x:v>180-degree line, screen direction and deliberate line crossing</x:v>
      </x:c>
      <x:c r="G28" s="44" t="str">
        <x:v>The line-of-action explanation supports an editable sequence. Draw the line and plan camera positions before a two-person activity.</x:v>
      </x:c>
      <x:c r="H28" s="44" t="str">
        <x:v>Supporting lesson</x:v>
      </x:c>
      <x:c r="I28" s="44" t="str">
        <x:v>All genres</x:v>
      </x:c>
      <x:c r="J28" s="44" t="str">
        <x:v>StudioBinder</x:v>
      </x:c>
      <x:c r="K28" s="44" t="str">
        <x:v>Tool-independent</x:v>
      </x:c>
      <x:c r="L28" s="44" t="str">
        <x:v>Free lesson</x:v>
      </x:c>
      <x:c r="M28" s="78" t="str">
        <x:v>https://www.youtube.com/watch?v=iW0bKUfvH2c</x:v>
      </x:c>
      <x:c r="N28" s="78" t="str">
        <x:v>https://www.youtube.com/watch?v=iW0bKUfvH2c</x:v>
      </x:c>
      <x:c r="O28" s="82" t="str">
        <x:v>Creator description and correction reviewed</x:v>
      </x:c>
      <x:c r="P28" s="82" t="str">
        <x:v>Creator correction: the diagram reverses camera movement at 04:15. Explain the correction before using it.</x:v>
      </x:c>
    </x:row>
    <x:row r="29" ht="64" customHeight="1">
      <x:c r="A29" s="48" t="str">
        <x:v>Beginner</x:v>
      </x:c>
      <x:c r="B29" s="104"/>
      <x:c r="C29" s="104"/>
      <x:c r="D29" s="74" t="str">
        <x:v>Static shots and simple pan/tilt decisions</x:v>
      </x:c>
      <x:c r="E29" s="70" t="str">
        <x:f>IFERROR(HYPERLINK(M29,"Ultimate Guide to Camera Movement"),"Ultimate Guide to Camera Movement")</x:f>
        <x:v>Ultimate Guide to Camera Movement</x:v>
      </x:c>
      <x:c r="F29" s="44" t="str">
        <x:v>Static-shot, pan and tilt sections only</x:v>
      </x:c>
      <x:c r="G29" s="44" t="str">
        <x:v>Separates static framing from purposeful movement. Practise one steady pan or tilt only when it reveals needed information.</x:v>
      </x:c>
      <x:c r="H29" s="44" t="str">
        <x:v>Supporting lesson</x:v>
      </x:c>
      <x:c r="I29" s="44" t="str">
        <x:v>All genres</x:v>
      </x:c>
      <x:c r="J29" s="44" t="str">
        <x:v>StudioBinder</x:v>
      </x:c>
      <x:c r="K29" s="44" t="str">
        <x:v>Tool-independent</x:v>
      </x:c>
      <x:c r="L29" s="44" t="str">
        <x:v>Free lesson</x:v>
      </x:c>
      <x:c r="M29" s="78" t="str">
        <x:v>https://www.youtube.com/watch?v=IiyBo-qLDeM</x:v>
      </x:c>
      <x:c r="N29" s="78" t="str">
        <x:v>https://www.studiobinder.com/blog/different-types-of-camera-movements-in-film/</x:v>
      </x:c>
      <x:c r="O29" s="82" t="str">
        <x:v>Publisher companion explanation reviewed</x:v>
      </x:c>
      <x:c r="P29" s="82" t="str">
        <x:v>Technique overview, not stabiliser setup or operation training.</x:v>
      </x:c>
    </x:row>
    <x:row r="30" ht="64" customHeight="1">
      <x:c r="A30" s="48" t="str">
        <x:v>Beginner</x:v>
      </x:c>
      <x:c r="B30" s="104" t="str">
        <x:v>B06
Working with available light</x:v>
      </x:c>
      <x:c r="C30" s="104"/>
      <x:c r="D30" s="75" t="str">
        <x:v>Using window/daylight and reflected light</x:v>
      </x:c>
      <x:c r="E30" s="71" t="str">
        <x:f>IFERROR(HYPERLINK(M30,"3 Cinematic Looks With Natural Light"),"3 Cinematic Looks With Natural Light")</x:f>
        <x:v>3 Cinematic Looks With Natural Light</x:v>
      </x:c>
      <x:c r="F30" s="52" t="str">
        <x:v>Three daylight setups: position, exposure control and shaping reflected light</x:v>
      </x:c>
      <x:c r="G30" s="52" t="str">
        <x:v>The actual lesson uses available light. Change subject position and light shaping, then compare before-and-after frames.</x:v>
      </x:c>
      <x:c r="H30" s="52" t="str">
        <x:v>Core lesson</x:v>
      </x:c>
      <x:c r="I30" s="52" t="str">
        <x:v>All genres</x:v>
      </x:c>
      <x:c r="J30" s="52" t="str">
        <x:v>Aputure</x:v>
      </x:c>
      <x:c r="K30" s="52" t="str">
        <x:v>Tool-independent</x:v>
      </x:c>
      <x:c r="L30" s="52" t="str">
        <x:v>Free lesson</x:v>
      </x:c>
      <x:c r="M30" s="79" t="str">
        <x:v>https://www.youtube.com/watch?v=OwrSQB87HOY</x:v>
      </x:c>
      <x:c r="N30" s="79" t="str">
        <x:v>https://www.youtube.com/watch?v=OwrSQB87HOY</x:v>
      </x:c>
      <x:c r="O30" s="83" t="str">
        <x:v>Detailed creator demonstration outline reviewed</x:v>
      </x:c>
      <x:c r="P30" s="83" t="str">
        <x:v>Practise the named skill; the video is not evidence of independent competence.</x:v>
      </x:c>
    </x:row>
    <x:row r="31" ht="64" customHeight="1">
      <x:c r="A31" s="48" t="str">
        <x:v>Beginner</x:v>
      </x:c>
      <x:c r="B31" s="104"/>
      <x:c r="C31" s="104"/>
      <x:c r="D31" s="75" t="str">
        <x:v>Removing unwanted fill light</x:v>
      </x:c>
      <x:c r="E31" s="71" t="str">
        <x:f>IFERROR(HYPERLINK(M31,"The One Dramatic Lighting Technique You
Need to Know"),"The One Dramatic Lighting Technique You
Need to Know")</x:f>
        <x:v>The One Dramatic Lighting Technique You
Need to Know</x:v>
      </x:c>
      <x:c r="F31" s="52" t="str">
        <x:v>Whole focused lesson; no chapter markers verified</x:v>
      </x:c>
      <x:c r="G31" s="52" t="str">
        <x:v>Demonstrates negative fill as a way to control contrast. Try a safe dark surface beside the subject and compare the shadow side.</x:v>
      </x:c>
      <x:c r="H31" s="52" t="str">
        <x:v>Supporting lesson</x:v>
      </x:c>
      <x:c r="I31" s="52" t="str">
        <x:v>All genres</x:v>
      </x:c>
      <x:c r="J31" s="52" t="str">
        <x:v>Aputure</x:v>
      </x:c>
      <x:c r="K31" s="52" t="str">
        <x:v>Tool-independent</x:v>
      </x:c>
      <x:c r="L31" s="52" t="str">
        <x:v>Free lesson</x:v>
      </x:c>
      <x:c r="M31" s="79" t="str">
        <x:v>https://www.youtube.com/watch?v=zuwnNSgb3p8</x:v>
      </x:c>
      <x:c r="N31" s="79" t="str">
        <x:v>https://www.youtube.com/watch?v=zuwnNSgb3p8</x:v>
      </x:c>
      <x:c r="O31" s="83" t="str">
        <x:v>Creator description and published topics reviewed</x:v>
      </x:c>
      <x:c r="P31" s="83" t="str">
        <x:v>This is a light-shaping technique, not a requirement to create a dark dramatic look.</x:v>
      </x:c>
    </x:row>
    <x:row r="32" ht="64" customHeight="1">
      <x:c r="A32" s="48" t="str">
        <x:v>Beginner</x:v>
      </x:c>
      <x:c r="B32" s="104" t="str">
        <x:v>B07
Recording clear sound and guiding a participant</x:v>
      </x:c>
      <x:c r="C32" s="104"/>
      <x:c r="D32" s="74" t="str">
        <x:v>Recording clearer speech on a phone</x:v>
      </x:c>
      <x:c r="E32" s="70" t="str">
        <x:f>IFERROR(HYPERLINK(M32,"An Activist's Guide to Mobile Video — Sound
Recording"),"An Activist's Guide to Mobile Video — Sound
Recording")</x:f>
        <x:v>An Activist's Guide to Mobile Video — Sound
Recording</x:v>
      </x:c>
      <x:c r="F32" s="44" t="str">
        <x:v>Whole focused lesson; no chapter markers verified</x:v>
      </x:c>
      <x:c r="G32" s="44" t="str">
        <x:v>Teaches practical mobile sound capture. Record a short introduction, listen with headphones and improve the recording position.</x:v>
      </x:c>
      <x:c r="H32" s="44" t="str">
        <x:v>Core lesson</x:v>
      </x:c>
      <x:c r="I32" s="44" t="str">
        <x:v>All genres</x:v>
      </x:c>
      <x:c r="J32" s="44" t="str">
        <x:v>WITNESS</x:v>
      </x:c>
      <x:c r="K32" s="44" t="str">
        <x:v>Tool-independent</x:v>
      </x:c>
      <x:c r="L32" s="44" t="str">
        <x:v>Free lesson</x:v>
      </x:c>
      <x:c r="M32" s="78" t="str">
        <x:v>https://www.youtube.com/watch?v=U5I4AZL0erc</x:v>
      </x:c>
      <x:c r="N32" s="78" t="str">
        <x:v>https://library.witness.org/product/an-activists-guide-to-mobile-video-sound-recording/</x:v>
      </x:c>
      <x:c r="O32" s="82" t="str">
        <x:v>Publisher video description reviewed</x:v>
      </x:c>
      <x:c r="P32" s="82" t="str">
        <x:v>Older phone accessories; check connector compatibility. Transfer the capture principles.</x:v>
      </x:c>
    </x:row>
    <x:row r="33" ht="64" customHeight="1">
      <x:c r="A33" s="48" t="str">
        <x:v>Beginner</x:v>
      </x:c>
      <x:c r="B33" s="104"/>
      <x:c r="C33" s="104"/>
      <x:c r="D33" s="74" t="str">
        <x:v>Positioning a participant and interviewer</x:v>
      </x:c>
      <x:c r="E33" s="70" t="str">
        <x:f>IFERROR(HYPERLINK(M33,"Interviewing Techniques — The Formal
Interview Setup"),"Interviewing Techniques — The Formal
Interview Setup")</x:f>
        <x:v>Interviewing Techniques — The Formal
Interview Setup</x:v>
      </x:c>
      <x:c r="F33" s="44" t="str">
        <x:v>Chair, camera height, background distance, interviewer eyeline and monitoring</x:v>
      </x:c>
      <x:c r="G33" s="44" t="str">
        <x:v>Shows a formal interview setup: stable seating, background, eyeline and monitoring. Apply it to the short-answer recording.</x:v>
      </x:c>
      <x:c r="H33" s="44" t="str">
        <x:v>Core lesson</x:v>
      </x:c>
      <x:c r="I33" s="44" t="str">
        <x:v>All genres</x:v>
      </x:c>
      <x:c r="J33" s="44" t="str">
        <x:v>WITNESS</x:v>
      </x:c>
      <x:c r="K33" s="44" t="str">
        <x:v>Tool-independent</x:v>
      </x:c>
      <x:c r="L33" s="44" t="str">
        <x:v>Free lesson</x:v>
      </x:c>
      <x:c r="M33" s="78" t="str">
        <x:v>https://www.youtube.com/watch?v=9BByoOJXjSQ</x:v>
      </x:c>
      <x:c r="N33" s="78" t="str">
        <x:v>https://library.witness.org/product/interviewing-techniques-the-formal-interview-setup/</x:v>
      </x:c>
      <x:c r="O33" s="82" t="str">
        <x:v>Publisher video page and accompanying instructions reviewed</x:v>
      </x:c>
      <x:c r="P33" s="82" t="str">
        <x:v>Practise the named skill; the video is not evidence of independent competence.</x:v>
      </x:c>
    </x:row>
    <x:row r="34" ht="64" customHeight="1">
      <x:c r="A34" s="48" t="str">
        <x:v>Beginner</x:v>
      </x:c>
      <x:c r="B34" s="104"/>
      <x:c r="C34" s="104"/>
      <x:c r="D34" s="74" t="str">
        <x:v>Avoiding clothing noise with a lavalier</x:v>
      </x:c>
      <x:c r="E34" s="70" t="str">
        <x:f>IFERROR(HYPERLINK(M34,"How To Hide A Lav Microphone"),"How To Hide A Lav Microphone")</x:f>
        <x:v>How To Hide A Lav Microphone</x:v>
      </x:c>
      <x:c r="F34" s="44" t="str">
        <x:v>First embedded video: How To Hide A Lav Microphone (not accessory shopping videos)</x:v>
      </x:c>
      <x:c r="G34" s="44" t="str">
        <x:v>The first demonstration shows microphone concealment and clothing interaction. Test speech and movement before the actual take.</x:v>
      </x:c>
      <x:c r="H34" s="44" t="str">
        <x:v>Supporting lesson</x:v>
      </x:c>
      <x:c r="I34" s="44" t="str">
        <x:v>All genres</x:v>
      </x:c>
      <x:c r="J34" s="44" t="str">
        <x:v>Deity Microphones</x:v>
      </x:c>
      <x:c r="K34" s="44" t="str">
        <x:v>Tool-independent</x:v>
      </x:c>
      <x:c r="L34" s="44" t="str">
        <x:v>Free lesson</x:v>
      </x:c>
      <x:c r="M34" s="78" t="str">
        <x:v>https://deitymic.com/blog/how-to-hide-a-lavalier-microphone/</x:v>
      </x:c>
      <x:c r="N34" s="78" t="str">
        <x:v>https://deitymic.com/blog/how-to-hide-a-lavalier-microphone/</x:v>
      </x:c>
      <x:c r="O34" s="82" t="str">
        <x:v>Creator lesson page reviewed</x:v>
      </x:c>
      <x:c r="P34" s="82" t="str">
        <x:v>Use only when a lavalier is available; concealing it is optional.</x:v>
      </x:c>
    </x:row>
    <x:row r="35" ht="64" customHeight="1">
      <x:c r="A35" s="48" t="str">
        <x:v>Beginner</x:v>
      </x:c>
      <x:c r="B35" s="104" t="str">
        <x:v>B08
Organising footage and starting an editing project</x:v>
      </x:c>
      <x:c r="C35" s="104"/>
      <x:c r="D35" s="75" t="str">
        <x:v>Understanding project and timeline panels</x:v>
      </x:c>
      <x:c r="E35" s="71" t="str">
        <x:f>IFERROR(HYPERLINK(M35,"Get to know Premiere"),"Get to know Premiere")</x:f>
        <x:v>Get to know Premiere</x:v>
      </x:c>
      <x:c r="F35" s="52" t="str">
        <x:v>Project, Source, Timeline and Program panels; reset workspace</x:v>
      </x:c>
      <x:c r="G35" s="52" t="str">
        <x:v>Explains where media, source viewing and editing happen. Locate each area before importing the activity footage.</x:v>
      </x:c>
      <x:c r="H35" s="52" t="str">
        <x:v>Core lesson</x:v>
      </x:c>
      <x:c r="I35" s="52" t="str">
        <x:v>All genres</x:v>
      </x:c>
      <x:c r="J35" s="52" t="str">
        <x:v>Adobe / Hallease Narvaez</x:v>
      </x:c>
      <x:c r="K35" s="52" t="str">
        <x:v>Premiere Pro</x:v>
      </x:c>
      <x:c r="L35" s="52" t="str">
        <x:v>Free lesson</x:v>
      </x:c>
      <x:c r="M35" s="79" t="str">
        <x:v>https://www.adobe.com/learn/premiere-pro/web/get-started-premiere-pro</x:v>
      </x:c>
      <x:c r="N35" s="79" t="str">
        <x:v>https://www.adobe.com/learn/premiere-pro/web/get-started-premiere-pro</x:v>
      </x:c>
      <x:c r="O35" s="83" t="str">
        <x:v>Published video transcript reviewed</x:v>
      </x:c>
      <x:c r="P35" s="83" t="str">
        <x:v>Practise the named skill; the video is not evidence of independent competence.</x:v>
      </x:c>
    </x:row>
    <x:row r="36" ht="64" customHeight="1">
      <x:c r="A36" s="48" t="str">
        <x:v>Beginner</x:v>
      </x:c>
      <x:c r="B36" s="104"/>
      <x:c r="C36" s="104"/>
      <x:c r="D36" s="75" t="str">
        <x:v>Creating the project and importing media</x:v>
      </x:c>
      <x:c r="E36" s="71" t="str">
        <x:f>IFERROR(HYPERLINK(M36,"Create a project and import a clip"),"Create a project and import a clip")</x:f>
        <x:v>Create a project and import a clip</x:v>
      </x:c>
      <x:c r="F36" s="52" t="str">
        <x:v>Whole focused lesson; no chapter markers verified</x:v>
      </x:c>
      <x:c r="G36" s="52" t="str">
        <x:v>Demonstrates the basic import process. Store source footage in the planned folder before creating the editing project.</x:v>
      </x:c>
      <x:c r="H36" s="52" t="str">
        <x:v>Core lesson</x:v>
      </x:c>
      <x:c r="I36" s="52" t="str">
        <x:v>All genres</x:v>
      </x:c>
      <x:c r="J36" s="52" t="str">
        <x:v>Adobe</x:v>
      </x:c>
      <x:c r="K36" s="52" t="str">
        <x:v>Premiere Pro</x:v>
      </x:c>
      <x:c r="L36" s="52" t="str">
        <x:v>Free lesson</x:v>
      </x:c>
      <x:c r="M36" s="79" t="str">
        <x:v>https://www.adobe.com/learn/premiere-pro/web/create-project-import-media</x:v>
      </x:c>
      <x:c r="N36" s="79" t="str">
        <x:v>https://www.adobe.com/learn/premiere-pro/web/create-project-import-media</x:v>
      </x:c>
      <x:c r="O36" s="83" t="str">
        <x:v>Publisher video transcript reviewed</x:v>
      </x:c>
      <x:c r="P36" s="83" t="str">
        <x:v>Practise the named skill; the video is not evidence of independent competence.</x:v>
      </x:c>
    </x:row>
    <x:row r="37" ht="64" customHeight="1">
      <x:c r="A37" s="48" t="str">
        <x:v>Beginner</x:v>
      </x:c>
      <x:c r="B37" s="104"/>
      <x:c r="C37" s="104"/>
      <x:c r="D37" s="75" t="str">
        <x:v>Understanding file metadata</x:v>
      </x:c>
      <x:c r="E37" s="71" t="str">
        <x:f>IFERROR(HYPERLINK(M37,"What Is Video Metadata?"),"What Is Video Metadata?")</x:f>
        <x:v>What Is Video Metadata?</x:v>
      </x:c>
      <x:c r="F37" s="52" t="str">
        <x:v>Meaning, sources and privacy risks of video metadata</x:v>
      </x:c>
      <x:c r="G37" s="52" t="str">
        <x:v>Explains why recording information matters. Identify the source date and device information without renaming or altering the original files.</x:v>
      </x:c>
      <x:c r="H37" s="52" t="str">
        <x:v>Supporting lesson</x:v>
      </x:c>
      <x:c r="I37" s="52" t="str">
        <x:v>All genres</x:v>
      </x:c>
      <x:c r="J37" s="52" t="str">
        <x:v>WITNESS</x:v>
      </x:c>
      <x:c r="K37" s="52" t="str">
        <x:v>Tool-independent</x:v>
      </x:c>
      <x:c r="L37" s="52" t="str">
        <x:v>Free lesson</x:v>
      </x:c>
      <x:c r="M37" s="79" t="str">
        <x:v>https://www.youtube.com/watch?v=A0g8JnuwiX8</x:v>
      </x:c>
      <x:c r="N37" s="79" t="str">
        <x:v>https://library.witness.org/product/video-metadata/</x:v>
      </x:c>
      <x:c r="O37" s="83" t="str">
        <x:v>Publisher video description reviewed</x:v>
      </x:c>
      <x:c r="P37" s="83" t="str">
        <x:v>Not a tutorial on Premiere bins or project recovery.</x:v>
      </x:c>
    </x:row>
    <x:row r="38" ht="64" customHeight="1">
      <x:c r="A38" s="48" t="str">
        <x:v>Beginner</x:v>
      </x:c>
      <x:c r="B38" s="104" t="str">
        <x:v>B09
Building a clear first edit</x:v>
      </x:c>
      <x:c r="C38" s="104"/>
      <x:c r="D38" s="74" t="str">
        <x:v>Selecting clips and assembling a rough cut</x:v>
      </x:c>
      <x:c r="E38" s="70" t="str">
        <x:f>IFERROR(HYPERLINK(M38,"Add clips to your sequence"),"Add clips to your sequence")</x:f>
        <x:v>Add clips to your sequence</x:v>
      </x:c>
      <x:c r="F38" s="44" t="str">
        <x:v>00:09 rough cut; 00:57 In/Out; 01:35 insert versus overwrite</x:v>
      </x:c>
      <x:c r="G38" s="44" t="str">
        <x:v>Demonstrates In/Out points and adding shots to a sequence. Build the activity video in an understandable order.</x:v>
      </x:c>
      <x:c r="H38" s="44" t="str">
        <x:v>Core lesson</x:v>
      </x:c>
      <x:c r="I38" s="44" t="str">
        <x:v>All genres</x:v>
      </x:c>
      <x:c r="J38" s="44" t="str">
        <x:v>Adobe / Hallease Narvaez</x:v>
      </x:c>
      <x:c r="K38" s="44" t="str">
        <x:v>Premiere Pro</x:v>
      </x:c>
      <x:c r="L38" s="44" t="str">
        <x:v>Free lesson</x:v>
      </x:c>
      <x:c r="M38" s="78" t="str">
        <x:v>https://www.adobe.com/learn/premiere-pro/web/add-clips-to-sequence</x:v>
      </x:c>
      <x:c r="N38" s="78" t="str">
        <x:v>https://www.adobe.com/learn/premiere-pro/web/add-clips-to-sequence</x:v>
      </x:c>
      <x:c r="O38" s="82" t="str">
        <x:v>Published video transcript reviewed</x:v>
      </x:c>
      <x:c r="P38" s="82" t="str">
        <x:v>Practise the named skill; the video is not evidence of independent competence.</x:v>
      </x:c>
    </x:row>
    <x:row r="39" ht="64" customHeight="1">
      <x:c r="A39" s="48" t="str">
        <x:v>Beginner</x:v>
      </x:c>
      <x:c r="B39" s="104"/>
      <x:c r="C39" s="104"/>
      <x:c r="D39" s="74" t="str">
        <x:v>Trimming the start and end of a clip</x:v>
      </x:c>
      <x:c r="E39" s="70" t="str">
        <x:f>IFERROR(HYPERLINK(M39,"Trim a clip"),"Trim a clip")</x:f>
        <x:v>Trim a clip</x:v>
      </x:c>
      <x:c r="F39" s="44" t="str">
        <x:v>Embedded video: shorten the head/tail of a timeline clip</x:v>
      </x:c>
      <x:c r="G39" s="44" t="str">
        <x:v>Directly demonstrates shortening timeline clips. Remove unnecessary time without cutting away an essential action.</x:v>
      </x:c>
      <x:c r="H39" s="44" t="str">
        <x:v>Core lesson</x:v>
      </x:c>
      <x:c r="I39" s="44" t="str">
        <x:v>All genres</x:v>
      </x:c>
      <x:c r="J39" s="44" t="str">
        <x:v>Adobe</x:v>
      </x:c>
      <x:c r="K39" s="44" t="str">
        <x:v>Premiere Pro</x:v>
      </x:c>
      <x:c r="L39" s="44" t="str">
        <x:v>Free lesson</x:v>
      </x:c>
      <x:c r="M39" s="78" t="str">
        <x:v>https://helpx.adobe.com/uk/premiere/desktop/edit-projects/trim-clips/trim-a-clip.html</x:v>
      </x:c>
      <x:c r="N39" s="78" t="str">
        <x:v>https://helpx.adobe.com/uk/premiere/desktop/edit-projects/trim-clips/trim-a-clip.html</x:v>
      </x:c>
      <x:c r="O39" s="82" t="str">
        <x:v>Publisher video and accompanying instructions reviewed</x:v>
      </x:c>
      <x:c r="P39" s="82" t="str">
        <x:v>Practise the named skill; the video is not evidence of independent competence.</x:v>
      </x:c>
    </x:row>
    <x:row r="40" ht="64" customHeight="1">
      <x:c r="A40" s="48" t="str">
        <x:v>Beginner</x:v>
      </x:c>
      <x:c r="B40" s="104"/>
      <x:c r="C40" s="104"/>
      <x:c r="D40" s="74" t="str">
        <x:v>Choosing the moment to cut</x:v>
      </x:c>
      <x:c r="E40" s="70" t="str">
        <x:f>IFERROR(HYPERLINK(M40,"How Does an Editor Think and Feel?"),"How Does an Editor Think and Feel?")</x:f>
        <x:v>How Does an Editor Think and Feel?</x:v>
      </x:c>
      <x:c r="F40" s="44" t="str">
        <x:v>Whole focused lesson; no chapter markers verified</x:v>
      </x:c>
      <x:c r="G40" s="44" t="str">
        <x:v>Explores how editors judge timing and performance. Compare two cut points and explain which communicates the action better.</x:v>
      </x:c>
      <x:c r="H40" s="44" t="str">
        <x:v>Supporting lesson</x:v>
      </x:c>
      <x:c r="I40" s="44" t="str">
        <x:v>All genres</x:v>
      </x:c>
      <x:c r="J40" s="44" t="str">
        <x:v>Every Frame a Painting</x:v>
      </x:c>
      <x:c r="K40" s="44" t="str">
        <x:v>Tool-independent</x:v>
      </x:c>
      <x:c r="L40" s="44" t="str">
        <x:v>Free lesson</x:v>
      </x:c>
      <x:c r="M40" s="78" t="str">
        <x:v>https://www.youtube.com/watch?v=3Q3eITC01Fg</x:v>
      </x:c>
      <x:c r="N40" s="78" t="str">
        <x:v>https://www.patreon.com/posts/how-does-editor-5446631</x:v>
      </x:c>
      <x:c r="O40" s="82" t="str">
        <x:v>Creator's lesson introduction reviewed</x:v>
      </x:c>
      <x:c r="P40" s="82" t="str">
        <x:v>An editorial explanation, not a Premiere interface tutorial.</x:v>
      </x:c>
    </x:row>
    <x:row r="41" ht="96" customHeight="1">
      <x:c r="A41" s="105" t="str">
        <x:v>Beginner</x:v>
      </x:c>
      <x:c r="B41" s="106"/>
      <x:c r="C41" s="106"/>
      <x:c r="D41" s="107" t="str">
        <x:v>Building a dialogue rough cut from a transcript</x:v>
      </x:c>
      <x:c r="E41" s="108" t="str">
        <x:f>IFERROR(HYPERLINK(M41,"Text-Based Editing Powered by AI"),"Text-Based Editing Powered by AI")</x:f>
        <x:v>Text-Based Editing Powered by AI</x:v>
      </x:c>
      <x:c r="F41" s="109" t="str">
        <x:v>Whole focused tutorial / case study; chapter timestamps not verified</x:v>
      </x:c>
      <x:c r="G41" s="109" t="str">
        <x:v>Create a rough cut from recorded dialogue, then adjust pacing, continuity and cut points on the timeline.</x:v>
      </x:c>
      <x:c r="H41" s="109" t="str">
        <x:v>AI hybrid lesson (B-AI04)</x:v>
      </x:c>
      <x:c r="I41" s="109" t="str">
        <x:v>All genres</x:v>
      </x:c>
      <x:c r="J41" s="109" t="str">
        <x:v>Adobe Video</x:v>
      </x:c>
      <x:c r="K41" s="109" t="str">
        <x:v>Adobe Premiere Pro</x:v>
      </x:c>
      <x:c r="L41" s="109" t="str">
        <x:v>Free YouTube video; tool access may be paid</x:v>
      </x:c>
      <x:c r="M41" s="110" t="str">
        <x:v>https://www.youtube.com/watch?v=NEUbjLMpZ24</x:v>
      </x:c>
      <x:c r="N41" s="110" t="str">
        <x:v>https://www.youtube.com/watch?v=NEUbjLMpZ24</x:v>
      </x:c>
      <x:c r="O41" s="111" t="str">
        <x:v>Description / publisher references reviewed; learner comments and counts unverified</x:v>
      </x:c>
      <x:c r="P41" s="111" t="str">
        <x:v>Check transcription errors and preserve the meaning of the recorded speech.</x:v>
      </x:c>
    </x:row>
    <x:row r="42" ht="64" customHeight="1">
      <x:c r="A42" s="48" t="str">
        <x:v>Beginner</x:v>
      </x:c>
      <x:c r="B42" s="104" t="str">
        <x:v>B10
Basic dialogue, music and sound editing</x:v>
      </x:c>
      <x:c r="C42" s="104"/>
      <x:c r="D42" s="75" t="str">
        <x:v>Balancing dialogue and music levels</x:v>
      </x:c>
      <x:c r="E42" s="71" t="str">
        <x:f>IFERROR(HYPERLINK(M42,"Perfect your audio mix"),"Perfect your audio mix")</x:f>
        <x:v>Perfect your audio mix</x:v>
      </x:c>
      <x:c r="F42" s="52" t="str">
        <x:v>00:29 level matching; 01:15 music-duration adjustment</x:v>
      </x:c>
      <x:c r="G42" s="52" t="str">
        <x:v>Demonstrates audio-level matching and adapting music duration. Listen for clear speech rather than accepting automatic adjustments unchanged.</x:v>
      </x:c>
      <x:c r="H42" s="52" t="str">
        <x:v>Core lesson</x:v>
      </x:c>
      <x:c r="I42" s="52" t="str">
        <x:v>All genres</x:v>
      </x:c>
      <x:c r="J42" s="52" t="str">
        <x:v>Adobe</x:v>
      </x:c>
      <x:c r="K42" s="52" t="str">
        <x:v>Premiere Pro</x:v>
      </x:c>
      <x:c r="L42" s="52" t="str">
        <x:v>Free lesson</x:v>
      </x:c>
      <x:c r="M42" s="79" t="str">
        <x:v>https://www.adobe.com/learn/premiere-pro/web/add-adjust-audio</x:v>
      </x:c>
      <x:c r="N42" s="79" t="str">
        <x:v>https://www.adobe.com/learn/premiere-pro/web/add-adjust-audio</x:v>
      </x:c>
      <x:c r="O42" s="83" t="str">
        <x:v>Publisher video transcript reviewed</x:v>
      </x:c>
      <x:c r="P42" s="83" t="str">
        <x:v>Practise the named skill; the video is not evidence of independent competence.</x:v>
      </x:c>
    </x:row>
    <x:row r="43" ht="72" customHeight="1">
      <x:c r="A43" s="48" t="str">
        <x:v>Beginner</x:v>
      </x:c>
      <x:c r="B43" s="104"/>
      <x:c r="C43" s="104"/>
      <x:c r="D43" s="75" t="str">
        <x:v>Reducing music underneath speech</x:v>
      </x:c>
      <x:c r="E43" s="71" t="str">
        <x:f>IFERROR(HYPERLINK(M43,"Mix audio like a pro"),"Mix audio like a pro")</x:f>
        <x:v>Mix audio like a pro</x:v>
      </x:c>
      <x:c r="F43" s="52" t="str">
        <x:v>02:53 music ducking</x:v>
      </x:c>
      <x:c r="G43" s="52" t="str">
        <x:v>The ducking section directly addresses music competing with dialogue. Compare the automated result with an intentional listening adjustment.</x:v>
      </x:c>
      <x:c r="H43" s="52" t="str">
        <x:v>Supporting lesson</x:v>
      </x:c>
      <x:c r="I43" s="52" t="str">
        <x:v>All genres</x:v>
      </x:c>
      <x:c r="J43" s="52" t="str">
        <x:v>Adobe</x:v>
      </x:c>
      <x:c r="K43" s="52" t="str">
        <x:v>Premiere Pro</x:v>
      </x:c>
      <x:c r="L43" s="52" t="str">
        <x:v>Free lesson</x:v>
      </x:c>
      <x:c r="M43" s="79" t="str">
        <x:v>https://www.adobe.com/learn/premiere-pro/web/professional-audio-mix</x:v>
      </x:c>
      <x:c r="N43" s="79" t="str">
        <x:v>https://www.adobe.com/learn/premiere-pro/web/professional-audio-mix</x:v>
      </x:c>
      <x:c r="O43" s="83" t="str">
        <x:v>Publisher video transcript / tutorial page reviewed</x:v>
      </x:c>
      <x:c r="P43" s="83" t="str">
        <x:v>Automation requires listening checks; merge-clips demo is not a universal multicam workflow. Skip the separate-audio sync and advanced-cleanup sections for this beginner task.</x:v>
      </x:c>
    </x:row>
    <x:row r="44" ht="64" customHeight="1">
      <x:c r="A44" s="48" t="str">
        <x:v>Beginner</x:v>
      </x:c>
      <x:c r="B44" s="104"/>
      <x:c r="C44" s="104"/>
      <x:c r="D44" s="75" t="str">
        <x:v>Smoothing joins with an audio crossfade</x:v>
      </x:c>
      <x:c r="E44" s="71" t="str">
        <x:f>IFERROR(HYPERLINK(M44,"Elevate your project with cinematic video
transitions"),"Elevate your project with cinematic video
transitions")</x:f>
        <x:v>Elevate your project with cinematic video
transitions</x:v>
      </x:c>
      <x:c r="F44" s="52" t="str">
        <x:v>00:11 default transitions: audio crossfade demonstration</x:v>
      </x:c>
      <x:c r="G44" s="52" t="str">
        <x:v>The demonstrated audio transition directly fixes an abrupt sound edit. Compare the untreated join with a short crossfade.</x:v>
      </x:c>
      <x:c r="H44" s="52" t="str">
        <x:v>Core lesson</x:v>
      </x:c>
      <x:c r="I44" s="52" t="str">
        <x:v>All genres</x:v>
      </x:c>
      <x:c r="J44" s="52" t="str">
        <x:v>Adobe / Ashley Kennedy</x:v>
      </x:c>
      <x:c r="K44" s="52" t="str">
        <x:v>Premiere</x:v>
      </x:c>
      <x:c r="L44" s="52" t="str">
        <x:v>Free lesson</x:v>
      </x:c>
      <x:c r="M44" s="79" t="str">
        <x:v>https://www.adobe.com/lu_en/learn/premiere-pro/web/premiere-pro-add-transitions-cc</x:v>
      </x:c>
      <x:c r="N44" s="79" t="str">
        <x:v>https://www.adobe.com/lu_en/learn/premiere-pro/web/premiere-pro-add-transitions-cc</x:v>
      </x:c>
      <x:c r="O44" s="83" t="str">
        <x:v>Publisher video transcript reviewed</x:v>
      </x:c>
      <x:c r="P44" s="83" t="str">
        <x:v>Only the audio-crossfade operation is assigned here; decorative video transitions are not needed.</x:v>
      </x:c>
    </x:row>
    <x:row r="45" ht="96" customHeight="1">
      <x:c r="A45" s="105" t="str">
        <x:v>Beginner</x:v>
      </x:c>
      <x:c r="B45" s="106"/>
      <x:c r="C45" s="106"/>
      <x:c r="D45" s="107" t="str">
        <x:v>AI-assisted dialogue cleanup</x:v>
      </x:c>
      <x:c r="E45" s="108" t="str">
        <x:f>IFERROR(HYPERLINK(M45,"Premiere Pro Enhance Speech Tutorial"),"Premiere Pro Enhance Speech Tutorial")</x:f>
        <x:v>Premiere Pro Enhance Speech Tutorial</x:v>
      </x:c>
      <x:c r="F45" s="109" t="str">
        <x:v>Whole focused tutorial / case study; chapter timestamps not verified</x:v>
      </x:c>
      <x:c r="G45" s="109" t="str">
        <x:v>Compare original and processed dialogue. Adjust processing while retaining natural voice quality and useful ambience.</x:v>
      </x:c>
      <x:c r="H45" s="109" t="str">
        <x:v>AI hybrid lesson (B-AI05)</x:v>
      </x:c>
      <x:c r="I45" s="109" t="str">
        <x:v>All genres</x:v>
      </x:c>
      <x:c r="J45" s="109" t="str">
        <x:v>Wonderland Production</x:v>
      </x:c>
      <x:c r="K45" s="109" t="str">
        <x:v>Adobe Premiere Pro</x:v>
      </x:c>
      <x:c r="L45" s="109" t="str">
        <x:v>Free YouTube video; tool access may be paid</x:v>
      </x:c>
      <x:c r="M45" s="110" t="str">
        <x:v>https://www.youtube.com/watch?v=XiVJ2aQuSTE</x:v>
      </x:c>
      <x:c r="N45" s="110" t="str">
        <x:v>https://www.youtube.com/watch?v=XiVJ2aQuSTE</x:v>
      </x:c>
      <x:c r="O45" s="111" t="str">
        <x:v>Description / publisher references reviewed; learner comments and counts unverified</x:v>
      </x:c>
      <x:c r="P45" s="111" t="str">
        <x:v>Listen for processing artefacts; clean recording remains the starting point.</x:v>
      </x:c>
    </x:row>
    <x:row r="46" ht="64" customHeight="1">
      <x:c r="A46" s="48" t="str">
        <x:v>Beginner</x:v>
      </x:c>
      <x:c r="B46" s="104" t="str">
        <x:v>B11
Basic colour correction and visual consistency</x:v>
      </x:c>
      <x:c r="C46" s="104"/>
      <x:c r="D46" s="74" t="str">
        <x:v>Basic exposure and colour correction</x:v>
      </x:c>
      <x:c r="E46" s="70" t="str">
        <x:f>IFERROR(HYPERLINK(M46,"Make basic color adjustments"),"Make basic color adjustments")</x:f>
        <x:v>Make basic color adjustments</x:v>
      </x:c>
      <x:c r="F46" s="44" t="str">
        <x:v>00:05 correction purpose; 00:29 Auto; 00:46 manual controls; 01:08 optional looks</x:v>
      </x:c>
      <x:c r="G46" s="44" t="str">
        <x:v>Shows automatic and manual correction controls. Correct an obvious cast or exposure difference and save a before-and-after comparison.</x:v>
      </x:c>
      <x:c r="H46" s="44" t="str">
        <x:v>Core lesson</x:v>
      </x:c>
      <x:c r="I46" s="44" t="str">
        <x:v>All genres</x:v>
      </x:c>
      <x:c r="J46" s="44" t="str">
        <x:v>Adobe / Hallease Narvaez</x:v>
      </x:c>
      <x:c r="K46" s="44" t="str">
        <x:v>Premiere Pro</x:v>
      </x:c>
      <x:c r="L46" s="44" t="str">
        <x:v>Free lesson</x:v>
      </x:c>
      <x:c r="M46" s="78" t="str">
        <x:v>https://www.adobe.com/learn/premiere-pro/web/color-correction</x:v>
      </x:c>
      <x:c r="N46" s="78" t="str">
        <x:v>https://www.adobe.com/learn/premiere-pro/web/color-correction</x:v>
      </x:c>
      <x:c r="O46" s="82" t="str">
        <x:v>Published video transcript reviewed</x:v>
      </x:c>
      <x:c r="P46" s="82" t="str">
        <x:v>Practise the named skill; the video is not evidence of independent competence.</x:v>
      </x:c>
    </x:row>
    <x:row r="47" ht="64" customHeight="1">
      <x:c r="A47" s="48" t="str">
        <x:v>Beginner</x:v>
      </x:c>
      <x:c r="B47" s="104"/>
      <x:c r="C47" s="104"/>
      <x:c r="D47" s="74" t="str">
        <x:v>Matching neighbouring shots</x:v>
      </x:c>
      <x:c r="E47" s="70" t="str">
        <x:f>IFERROR(HYPERLINK(M47,"Create a professional look using Color
Match and Curves"),"Create a professional look using Color
Match and Curves")</x:f>
        <x:v>Create a professional look using Color
Match and Curves</x:v>
      </x:c>
      <x:c r="F47" s="44" t="str">
        <x:v>00:33 shot matching; curves are optional</x:v>
      </x:c>
      <x:c r="G47" s="44" t="str">
        <x:v>Demonstrates matching colour between clips. Start with the comparison/match section, then check that the result suits the subject.</x:v>
      </x:c>
      <x:c r="H47" s="44" t="str">
        <x:v>Supporting lesson</x:v>
      </x:c>
      <x:c r="I47" s="44" t="str">
        <x:v>All genres</x:v>
      </x:c>
      <x:c r="J47" s="44" t="str">
        <x:v>Adobe</x:v>
      </x:c>
      <x:c r="K47" s="44" t="str">
        <x:v>Premiere Pro</x:v>
      </x:c>
      <x:c r="L47" s="44" t="str">
        <x:v>Free lesson</x:v>
      </x:c>
      <x:c r="M47" s="78" t="str">
        <x:v>https://www.adobe.com/learn/premiere-pro/web/color-match-and-curves</x:v>
      </x:c>
      <x:c r="N47" s="78" t="str">
        <x:v>https://www.adobe.com/learn/premiere-pro/web/color-match-and-curves</x:v>
      </x:c>
      <x:c r="O47" s="82" t="str">
        <x:v>Publisher video transcript reviewed</x:v>
      </x:c>
      <x:c r="P47" s="82" t="str">
        <x:v>Practise the named skill; the video is not evidence of independent competence.</x:v>
      </x:c>
    </x:row>
    <x:row r="48" ht="72" customHeight="1">
      <x:c r="A48" s="48" t="str">
        <x:v>Beginner</x:v>
      </x:c>
      <x:c r="B48" s="104" t="str">
        <x:v>B12
Titles, captions, export and final checking</x:v>
      </x:c>
      <x:c r="C48" s="104"/>
      <x:c r="D48" s="75" t="str">
        <x:v>Adding simple readable titles</x:v>
      </x:c>
      <x:c r="E48" s="71" t="str">
        <x:f>IFERROR(HYPERLINK(M48,"Text and Graphics"),"Text and Graphics")</x:f>
        <x:v>Text and Graphics</x:v>
      </x:c>
      <x:c r="F48" s="52" t="str">
        <x:v>Named topic: basic text and lower thirds; no chapter timing verified</x:v>
      </x:c>
      <x:c r="G48" s="52" t="str">
        <x:v>Use only the basic text and lower-third portion. Add the correct name or introductory title without advanced animation.</x:v>
      </x:c>
      <x:c r="H48" s="52" t="str">
        <x:v>Supporting lesson</x:v>
      </x:c>
      <x:c r="I48" s="52" t="str">
        <x:v>All genres</x:v>
      </x:c>
      <x:c r="J48" s="52" t="str">
        <x:v>Adobe Video Training</x:v>
      </x:c>
      <x:c r="K48" s="52" t="str">
        <x:v>Premiere Pro</x:v>
      </x:c>
      <x:c r="L48" s="52" t="str">
        <x:v>Free lesson</x:v>
      </x:c>
      <x:c r="M48" s="79" t="str">
        <x:v>https://adobevideotraining.com/video/text-and-graphics/</x:v>
      </x:c>
      <x:c r="N48" s="79" t="str">
        <x:v>https://adobevideotraining.com/video/text-and-graphics/</x:v>
      </x:c>
      <x:c r="O48" s="83" t="str">
        <x:v>Publisher video description/syllabus reviewed; not full playback</x:v>
      </x:c>
      <x:c r="P48" s="83" t="str">
        <x:v>Use the installed-version controls. The publisher synopsis was reviewed; full playback was not audited. Long workshop; do not assign the full session to a beginner.</x:v>
      </x:c>
    </x:row>
    <x:row r="49" ht="64" customHeight="1">
      <x:c r="A49" s="48" t="str">
        <x:v>Beginner</x:v>
      </x:c>
      <x:c r="B49" s="104"/>
      <x:c r="C49" s="104"/>
      <x:c r="D49" s="75" t="str">
        <x:v>Creating and checking captions</x:v>
      </x:c>
      <x:c r="E49" s="71" t="str">
        <x:f>IFERROR(HYPERLINK(M49,"Improve video accessibility using
captioning tools"),"Improve video accessibility using
captioning tools")</x:f>
        <x:v>Improve video accessibility using
captioning tools</x:v>
      </x:c>
      <x:c r="F49" s="52" t="str">
        <x:v>00:33 transcription; 01:03 captions; 01:27 styling</x:v>
      </x:c>
      <x:c r="G49" s="52" t="str">
        <x:v>Shows transcription, caption creation and styling. Correct names and words before exporting the captioned speech section.</x:v>
      </x:c>
      <x:c r="H49" s="52" t="str">
        <x:v>Core lesson</x:v>
      </x:c>
      <x:c r="I49" s="52" t="str">
        <x:v>All genres</x:v>
      </x:c>
      <x:c r="J49" s="52" t="str">
        <x:v>Adobe</x:v>
      </x:c>
      <x:c r="K49" s="52" t="str">
        <x:v>Premiere Pro</x:v>
      </x:c>
      <x:c r="L49" s="52" t="str">
        <x:v>Free lesson</x:v>
      </x:c>
      <x:c r="M49" s="79" t="str">
        <x:v>https://www.adobe.com/learn/premiere-pro/web/subtitles</x:v>
      </x:c>
      <x:c r="N49" s="79" t="str">
        <x:v>https://www.adobe.com/learn/premiere-pro/web/subtitles</x:v>
      </x:c>
      <x:c r="O49" s="83" t="str">
        <x:v>Publisher video transcript reviewed</x:v>
      </x:c>
      <x:c r="P49" s="83" t="str">
        <x:v>Practise the named skill; the video is not evidence of independent competence.</x:v>
      </x:c>
    </x:row>
    <x:row r="50" ht="64" customHeight="1">
      <x:c r="A50" s="48" t="str">
        <x:v>Beginner</x:v>
      </x:c>
      <x:c r="B50" s="104"/>
      <x:c r="C50" s="104"/>
      <x:c r="D50" s="75" t="str">
        <x:v>Exporting a playable file</x:v>
      </x:c>
      <x:c r="E50" s="71" t="str">
        <x:f>IFERROR(HYPERLINK(M50,"Share your videos fast using Quick Export"),"Share your videos fast using Quick Export")</x:f>
        <x:v>Share your videos fast using Quick Export</x:v>
      </x:c>
      <x:c r="F50" s="52" t="str">
        <x:v>Quick Export: filename, destination and preset</x:v>
      </x:c>
      <x:c r="G50" s="52" t="str">
        <x:v>Directly demonstrates destination, filename and preset selection. Play the exported file from beginning to end to complete the exercise.</x:v>
      </x:c>
      <x:c r="H50" s="52" t="str">
        <x:v>Core lesson</x:v>
      </x:c>
      <x:c r="I50" s="52" t="str">
        <x:v>All genres</x:v>
      </x:c>
      <x:c r="J50" s="52" t="str">
        <x:v>Adobe / Hallease Narvaez</x:v>
      </x:c>
      <x:c r="K50" s="52" t="str">
        <x:v>Premiere Pro</x:v>
      </x:c>
      <x:c r="L50" s="52" t="str">
        <x:v>Free lesson</x:v>
      </x:c>
      <x:c r="M50" s="79" t="str">
        <x:v>https://www.adobe.com/learn/premiere-pro/web/quick-export-share-video</x:v>
      </x:c>
      <x:c r="N50" s="79" t="str">
        <x:v>https://www.adobe.com/learn/premiere-pro/web/quick-export-share-video</x:v>
      </x:c>
      <x:c r="O50" s="83" t="str">
        <x:v>Publisher video transcript reviewed</x:v>
      </x:c>
      <x:c r="P50" s="83" t="str">
        <x:v>Simple MP4 delivery only; advanced specifications need a separate lesson.</x:v>
      </x:c>
    </x:row>
    <x:row r="51" ht="96" customHeight="1">
      <x:c r="A51" s="105" t="str">
        <x:v>Beginner</x:v>
      </x:c>
      <x:c r="B51" s="106"/>
      <x:c r="C51" s="106"/>
      <x:c r="D51" s="107" t="str">
        <x:v>Generating and correcting captions from speech</x:v>
      </x:c>
      <x:c r="E51" s="108" t="str">
        <x:f>IFERROR(HYPERLINK(M51,"Animated Subtitles in DaVinci Resolve"),"Animated Subtitles in DaVinci Resolve")</x:f>
        <x:v>Animated Subtitles in DaVinci Resolve</x:v>
      </x:c>
      <x:c r="F51" s="109" t="str">
        <x:v>Whole focused tutorial / case study; chapter timestamps not verified</x:v>
      </x:c>
      <x:c r="G51" s="109" t="str">
        <x:v>Generate captions, correct wording and timing, then check readability in the final export.</x:v>
      </x:c>
      <x:c r="H51" s="109" t="str">
        <x:v>AI hybrid lesson (B-AI06)</x:v>
      </x:c>
      <x:c r="I51" s="109" t="str">
        <x:v>All genres</x:v>
      </x:c>
      <x:c r="J51" s="109" t="str">
        <x:v>Apex Photo Studios</x:v>
      </x:c>
      <x:c r="K51" s="109" t="str">
        <x:v>DaVinci Resolve</x:v>
      </x:c>
      <x:c r="L51" s="109" t="str">
        <x:v>Free YouTube video; tool access may be paid</x:v>
      </x:c>
      <x:c r="M51" s="110" t="str">
        <x:v>https://www.youtube.com/watch?v=fSgQDBlJ4rs</x:v>
      </x:c>
      <x:c r="N51" s="110" t="str">
        <x:v>https://www.youtube.com/watch?v=fSgQDBlJ4rs</x:v>
      </x:c>
      <x:c r="O51" s="111" t="str">
        <x:v>Description / publisher references reviewed; learner comments and counts unverified</x:v>
      </x:c>
      <x:c r="P51" s="111" t="str">
        <x:v>Feature availability depends on software edition and version.</x:v>
      </x:c>
    </x:row>
    <x:row r="52" ht="72" customHeight="1">
      <x:c r="A52" s="48" t="str">
        <x:v>Beginner</x:v>
      </x:c>
      <x:c r="B52" s="104" t="str">
        <x:v>B13
One interest-based pathway — choose one of eight</x:v>
      </x:c>
      <x:c r="C52" s="104"/>
      <x:c r="D52" s="74" t="str">
        <x:v>Wedding: preparation details and simple participant coverage</x:v>
      </x:c>
      <x:c r="E52" s="70" t="str">
        <x:f>IFERROR(HYPERLINK(M52,"How to Film Bride and Groom Prep — Wedding
BTS Part 2"),"How to Film Bride and Groom Prep — Wedding
BTS Part 2")</x:f>
        <x:v>How to Film Bride and Groom Prep — Wedding
BTS Part 2</x:v>
      </x:c>
      <x:c r="F52" s="44" t="str">
        <x:v>Whole focused lesson; no chapter markers verified</x:v>
      </x:c>
      <x:c r="G52" s="44" t="str">
        <x:v>The preparation walkthrough shows people, details and available-light choices. Recreate only a short, staged preparation sequence.</x:v>
      </x:c>
      <x:c r="H52" s="44" t="str">
        <x:v>Selected-pathway lesson</x:v>
      </x:c>
      <x:c r="I52" s="44" t="str">
        <x:v>Wedding</x:v>
      </x:c>
      <x:c r="J52" s="44" t="str">
        <x:v>Matt Johnson / WhoisMatt</x:v>
      </x:c>
      <x:c r="K52" s="44" t="str">
        <x:v>Tool-independent</x:v>
      </x:c>
      <x:c r="L52" s="44" t="str">
        <x:v>Free lesson</x:v>
      </x:c>
      <x:c r="M52" s="78" t="str">
        <x:v>https://whoismatt.com/howtofilmbrideandgroomprep/</x:v>
      </x:c>
      <x:c r="N52" s="78" t="str">
        <x:v>https://whoismatt.com/howtofilmbrideandgroomprep/</x:v>
      </x:c>
      <x:c r="O52" s="82" t="str">
        <x:v>Creator's detailed lesson breakdown reviewed</x:v>
      </x:c>
      <x:c r="P52" s="82" t="str">
        <x:v>Older equipment examples; adapt to available gear. This is not an equipment-buying recommendation. Guided practice only; not preparation to be the sole recorder of a real wedding.</x:v>
      </x:c>
    </x:row>
    <x:row r="53" ht="64" customHeight="1">
      <x:c r="A53" s="48" t="str">
        <x:v>Beginner</x:v>
      </x:c>
      <x:c r="B53" s="104"/>
      <x:c r="C53" s="104"/>
      <x:c r="D53" s="74" t="str">
        <x:v>Events: editing a short highlight sequence</x:v>
      </x:c>
      <x:c r="E53" s="70" t="str">
        <x:f>IFERROR(HYPERLINK(M53,"Event Videography Tutorial — Highlight
Sequence Editing"),"Event Videography Tutorial — Highlight
Sequence Editing")</x:f>
        <x:v>Event Videography Tutorial — Highlight
Sequence Editing</x:v>
      </x:c>
      <x:c r="F53" s="44" t="str">
        <x:v>Whole focused lesson; no chapter markers verified</x:v>
      </x:c>
      <x:c r="G53" s="44" t="str">
        <x:v>The lesson uses event micro-sequences rather than unrelated attractive shots. Assemble a small gathering's beginning, activity and reaction.</x:v>
      </x:c>
      <x:c r="H53" s="44" t="str">
        <x:v>Selected-pathway lesson</x:v>
      </x:c>
      <x:c r="I53" s="44" t="str">
        <x:v>Events</x:v>
      </x:c>
      <x:c r="J53" s="44" t="str">
        <x:v>Video Upskill / Alex</x:v>
      </x:c>
      <x:c r="K53" s="44" t="str">
        <x:v>Premiere Pro</x:v>
      </x:c>
      <x:c r="L53" s="44" t="str">
        <x:v>Free lesson</x:v>
      </x:c>
      <x:c r="M53" s="78" t="str">
        <x:v>https://videoupskill.com/event-videography-tutorial-highlight-sequence-editing/</x:v>
      </x:c>
      <x:c r="N53" s="78" t="str">
        <x:v>https://videoupskill.com/event-videography-tutorial-highlight-sequence-editing/</x:v>
      </x:c>
      <x:c r="O53" s="82" t="str">
        <x:v>Creator lesson page reviewed</x:v>
      </x:c>
      <x:c r="P53" s="82" t="str">
        <x:v>Practise the named skill; the video is not evidence of independent competence.</x:v>
      </x:c>
    </x:row>
    <x:row r="54" ht="64" customHeight="1">
      <x:c r="A54" s="48" t="str">
        <x:v>Beginner</x:v>
      </x:c>
      <x:c r="B54" s="104"/>
      <x:c r="C54" s="104"/>
      <x:c r="D54" s="74" t="str">
        <x:v>Corporate: a clear, stable interview setup</x:v>
      </x:c>
      <x:c r="E54" s="70" t="str">
        <x:f>IFERROR(HYPERLINK(M54,"Interviewing Techniques — The Formal
Interview Setup"),"Interviewing Techniques — The Formal
Interview Setup")</x:f>
        <x:v>Interviewing Techniques — The Formal
Interview Setup</x:v>
      </x:c>
      <x:c r="F54" s="44" t="str">
        <x:v>Chair, camera height, background distance, interviewer eyeline and monitoring</x:v>
      </x:c>
      <x:c r="G54" s="44" t="str">
        <x:v>Apply the demonstrated chair, eyeline and background setup to a short employee or business introduction.</x:v>
      </x:c>
      <x:c r="H54" s="44" t="str">
        <x:v>Transferable technique</x:v>
      </x:c>
      <x:c r="I54" s="44" t="str">
        <x:v>Corporate</x:v>
      </x:c>
      <x:c r="J54" s="44" t="str">
        <x:v>WITNESS</x:v>
      </x:c>
      <x:c r="K54" s="44" t="str">
        <x:v>Tool-independent</x:v>
      </x:c>
      <x:c r="L54" s="44" t="str">
        <x:v>Free lesson</x:v>
      </x:c>
      <x:c r="M54" s="78" t="str">
        <x:v>https://www.youtube.com/watch?v=9BByoOJXjSQ</x:v>
      </x:c>
      <x:c r="N54" s="78" t="str">
        <x:v>https://library.witness.org/product/interviewing-techniques-the-formal-interview-setup/</x:v>
      </x:c>
      <x:c r="O54" s="82" t="str">
        <x:v>Publisher video page and accompanying instructions reviewed</x:v>
      </x:c>
      <x:c r="P54" s="82" t="str">
        <x:v>Practise the named skill; the video is not evidence of independent competence.</x:v>
      </x:c>
    </x:row>
    <x:row r="55" ht="64" customHeight="1">
      <x:c r="A55" s="48" t="str">
        <x:v>Beginner</x:v>
      </x:c>
      <x:c r="B55" s="104"/>
      <x:c r="C55" s="104"/>
      <x:c r="D55" s="74" t="str">
        <x:v>Documentary: a meaningful consent conversation</x:v>
      </x:c>
      <x:c r="E55" s="70" t="str">
        <x:f>IFERROR(HYPERLINK(M55,"Interviewing Techniques — Obtaining
Informed Consent"),"Interviewing Techniques — Obtaining
Informed Consent")</x:f>
        <x:v>Interviewing Techniques — Obtaining
Informed Consent</x:v>
      </x:c>
      <x:c r="F55" s="44" t="str">
        <x:v>Informed consent demonstration</x:v>
      </x:c>
      <x:c r="G55" s="44" t="str">
        <x:v>Before the simple profile, explain the recording and its use as demonstrated. Record permission and respect any limits agreed.</x:v>
      </x:c>
      <x:c r="H55" s="44" t="str">
        <x:v>Selected-pathway lesson</x:v>
      </x:c>
      <x:c r="I55" s="44" t="str">
        <x:v>Documentary</x:v>
      </x:c>
      <x:c r="J55" s="44" t="str">
        <x:v>WITNESS</x:v>
      </x:c>
      <x:c r="K55" s="44" t="str">
        <x:v>Tool-independent</x:v>
      </x:c>
      <x:c r="L55" s="44" t="str">
        <x:v>Free lesson</x:v>
      </x:c>
      <x:c r="M55" s="78" t="str">
        <x:v>https://www.youtube.com/watch?v=VWAHkHLpZ1Q</x:v>
      </x:c>
      <x:c r="N55" s="78" t="str">
        <x:v>https://library.witness.org/product/interviewing-techniques-obtaining-informed-consent/</x:v>
      </x:c>
      <x:c r="O55" s="82" t="str">
        <x:v>Publisher video page and accompanying instructions reviewed</x:v>
      </x:c>
      <x:c r="P55" s="82" t="str">
        <x:v>Human-rights context. Ethical guidance, not a substitute for local legal advice or a full release agreement.</x:v>
      </x:c>
    </x:row>
    <x:row r="56" ht="64" customHeight="1">
      <x:c r="A56" s="48" t="str">
        <x:v>Beginner</x:v>
      </x:c>
      <x:c r="B56" s="104"/>
      <x:c r="C56" s="104"/>
      <x:c r="D56" s="74" t="str">
        <x:v>Documentary: obtaining complete, useful answers</x:v>
      </x:c>
      <x:c r="E56" s="70" t="str">
        <x:f>IFERROR(HYPERLINK(M56,"How to Ask Great Documentary Interview
Questions"),"How to Ask Great Documentary Interview
Questions")</x:f>
        <x:v>How to Ask Great Documentary Interview
Questions</x:v>
      </x:c>
      <x:c r="F56" s="44" t="str">
        <x:v>Interview purpose, open questions, listening and follow-ups</x:v>
      </x:c>
      <x:c r="G56" s="44" t="str">
        <x:v>Use the open-question and listening advice for a one-minute profile. Keep the subject's meaning intact in the edit.</x:v>
      </x:c>
      <x:c r="H56" s="44" t="str">
        <x:v>Selected-pathway lesson</x:v>
      </x:c>
      <x:c r="I56" s="44" t="str">
        <x:v>Documentary</x:v>
      </x:c>
      <x:c r="J56" s="44" t="str">
        <x:v>Videomaker</x:v>
      </x:c>
      <x:c r="K56" s="44" t="str">
        <x:v>Tool-independent</x:v>
      </x:c>
      <x:c r="L56" s="44" t="str">
        <x:v>Free lesson</x:v>
      </x:c>
      <x:c r="M56" s="78" t="str">
        <x:v>https://www.youtube.com/watch?v=qddEATeRpcI</x:v>
      </x:c>
      <x:c r="N56" s="78" t="str">
        <x:v>https://www.videomaker.com/article/c06/19014-how-to-ask-great-documentary-interview-questions/?amp=1</x:v>
      </x:c>
      <x:c r="O56" s="82" t="str">
        <x:v>Publisher's accompanying teaching article reviewed</x:v>
      </x:c>
      <x:c r="P56" s="82" t="str">
        <x:v>Practise the named skill; the video is not evidence of independent competence.</x:v>
      </x:c>
    </x:row>
    <x:row r="57" ht="64" customHeight="1">
      <x:c r="A57" s="48" t="str">
        <x:v>Beginner</x:v>
      </x:c>
      <x:c r="B57" s="104"/>
      <x:c r="C57" s="104"/>
      <x:c r="D57" s="74" t="str">
        <x:v>Social media: readable, accurate spoken-word captions</x:v>
      </x:c>
      <x:c r="E57" s="70" t="str">
        <x:f>IFERROR(HYPERLINK(M57,"Improve video accessibility using
captioning tools"),"Improve video accessibility using
captioning tools")</x:f>
        <x:v>Improve video accessibility using
captioning tools</x:v>
      </x:c>
      <x:c r="F57" s="44" t="str">
        <x:v>01:03 captions; 01:27 styling</x:v>
      </x:c>
      <x:c r="G57" s="44" t="str">
        <x:v>The caption workflow directly supports a short social video. Correct the words and make the message understandable with sound off.</x:v>
      </x:c>
      <x:c r="H57" s="44" t="str">
        <x:v>Transferable technique</x:v>
      </x:c>
      <x:c r="I57" s="44" t="str">
        <x:v>Social media</x:v>
      </x:c>
      <x:c r="J57" s="44" t="str">
        <x:v>Adobe</x:v>
      </x:c>
      <x:c r="K57" s="44" t="str">
        <x:v>Premiere Pro</x:v>
      </x:c>
      <x:c r="L57" s="44" t="str">
        <x:v>Free lesson</x:v>
      </x:c>
      <x:c r="M57" s="78" t="str">
        <x:v>https://www.adobe.com/learn/premiere-pro/web/subtitles</x:v>
      </x:c>
      <x:c r="N57" s="78" t="str">
        <x:v>https://www.adobe.com/learn/premiere-pro/web/subtitles</x:v>
      </x:c>
      <x:c r="O57" s="82" t="str">
        <x:v>Publisher video transcript reviewed</x:v>
      </x:c>
      <x:c r="P57" s="82" t="str">
        <x:v>Practise the named skill; the video is not evidence of independent competence.</x:v>
      </x:c>
    </x:row>
    <x:row r="58" ht="64" customHeight="1">
      <x:c r="A58" s="48" t="str">
        <x:v>Beginner</x:v>
      </x:c>
      <x:c r="B58" s="104"/>
      <x:c r="C58" s="104"/>
      <x:c r="D58" s="74" t="str">
        <x:v>Social media: a clear opening and promised payoff</x:v>
      </x:c>
      <x:c r="E58" s="70" t="str">
        <x:f>IFERROR(HYPERLINK(M58,"How to HOOK Your Viewer in 5 Seconds —
Video Hook Strategy"),"How to HOOK Your Viewer in 5 Seconds —
Video Hook Strategy")</x:f>
        <x:v>How to HOOK Your Viewer in 5 Seconds —
Video Hook Strategy</x:v>
      </x:c>
      <x:c r="F58" s="44" t="str">
        <x:v>00:32–03:07: hook elements and payoff</x:v>
      </x:c>
      <x:c r="G58" s="44" t="str">
        <x:v>The visual, audio and direct-language examples teach a short opening. Apply one appropriate approach to the learner's single-message video.</x:v>
      </x:c>
      <x:c r="H58" s="44" t="str">
        <x:v>Selected-pathway lesson</x:v>
      </x:c>
      <x:c r="I58" s="44" t="str">
        <x:v>Social media</x:v>
      </x:c>
      <x:c r="J58" s="44" t="str">
        <x:v>Kapwing</x:v>
      </x:c>
      <x:c r="K58" s="44" t="str">
        <x:v>Tool-independent</x:v>
      </x:c>
      <x:c r="L58" s="44" t="str">
        <x:v>Free lesson</x:v>
      </x:c>
      <x:c r="M58" s="78" t="str">
        <x:v>https://www.youtube.com/watch?v=g99k86QzyDk</x:v>
      </x:c>
      <x:c r="N58" s="78" t="str">
        <x:v>https://www.youtube.com/watch?v=g99k86QzyDk</x:v>
      </x:c>
      <x:c r="O58" s="82" t="str">
        <x:v>Creator description and chapter list reviewed</x:v>
      </x:c>
      <x:c r="P58" s="82" t="str">
        <x:v>Marketing advice, not a retention guarantee; tools shown are optional.</x:v>
      </x:c>
    </x:row>
    <x:row r="59" ht="64" customHeight="1">
      <x:c r="A59" s="48" t="str">
        <x:v>Beginner</x:v>
      </x:c>
      <x:c r="B59" s="104"/>
      <x:c r="C59" s="104"/>
      <x:c r="D59" s="74" t="str">
        <x:v>YouTube: scripting an understandable explanation</x:v>
      </x:c>
      <x:c r="E59" s="70" t="str">
        <x:f>IFERROR(HYPERLINK(M59,"How to Write a Script for a YouTube Video
(Made Easy!)"),"How to Write a Script for a YouTube Video
(Made Easy!)")</x:f>
        <x:v>How to Write a Script for a YouTube Video
(Made Easy!)</x:v>
      </x:c>
      <x:c r="F59" s="44" t="str">
        <x:v>Simple scripting method; no chapter markers verified</x:v>
      </x:c>
      <x:c r="G59" s="44" t="str">
        <x:v>Apply the simple scripting method to a familiar process. Keep the promise clear and avoid padding the explanation.</x:v>
      </x:c>
      <x:c r="H59" s="44" t="str">
        <x:v>Selected-pathway lesson</x:v>
      </x:c>
      <x:c r="I59" s="44" t="str">
        <x:v>YouTube</x:v>
      </x:c>
      <x:c r="J59" s="44" t="str">
        <x:v>Think Media</x:v>
      </x:c>
      <x:c r="K59" s="44" t="str">
        <x:v>Tool-independent</x:v>
      </x:c>
      <x:c r="L59" s="44" t="str">
        <x:v>Free lesson</x:v>
      </x:c>
      <x:c r="M59" s="78" t="str">
        <x:v>https://www.youtube.com/watch?v=8s0i1LutAc4</x:v>
      </x:c>
      <x:c r="N59" s="78" t="str">
        <x:v>https://www.youtube.com/watch?v=8s0i1LutAc4</x:v>
      </x:c>
      <x:c r="O59" s="82" t="str">
        <x:v>Creator's lesson description reviewed</x:v>
      </x:c>
      <x:c r="P59" s="82" t="str">
        <x:v>Contains course promotion. A scripting approach, not a guarantee of views or channel growth.</x:v>
      </x:c>
    </x:row>
    <x:row r="60" ht="72" customHeight="1">
      <x:c r="A60" s="48" t="str">
        <x:v>Beginner</x:v>
      </x:c>
      <x:c r="B60" s="104"/>
      <x:c r="C60" s="104"/>
      <x:c r="D60" s="74" t="str">
        <x:v>Travel: planning and collecting useful location shots</x:v>
      </x:c>
      <x:c r="E60" s="70" t="str">
        <x:f>IFERROR(HYPERLINK(M60,"How to Make Travel Videos for Beginners —
Storytelling Explained"),"How to Make Travel Videos for Beginners —
Storytelling Explained")</x:f>
        <x:v>How to Make Travel Videos for Beginners —
Storytelling Explained</x:v>
      </x:c>
      <x:c r="F60" s="44" t="str">
        <x:v>02:35 planning; 06:15 shot variety</x:v>
      </x:c>
      <x:c r="G60" s="44" t="str">
        <x:v>Use the actual planning and shot-variety chapters to organise a local trip. This is preparation and capture—not a general story-theory lesson.</x:v>
      </x:c>
      <x:c r="H60" s="44" t="str">
        <x:v>Selected-pathway lesson</x:v>
      </x:c>
      <x:c r="I60" s="44" t="str">
        <x:v>Travel</x:v>
      </x:c>
      <x:c r="J60" s="44" t="str">
        <x:v>Jake Rich and Anna Chah</x:v>
      </x:c>
      <x:c r="K60" s="44" t="str">
        <x:v>Tool-independent</x:v>
      </x:c>
      <x:c r="L60" s="44" t="str">
        <x:v>Free lesson</x:v>
      </x:c>
      <x:c r="M60" s="78" t="str">
        <x:v>https://www.youtube.com/watch?v=kJOyhNL52M4</x:v>
      </x:c>
      <x:c r="N60" s="78" t="str">
        <x:v>https://www.youtube.com/watch?v=kJOyhNL52M4</x:v>
      </x:c>
      <x:c r="O60" s="82" t="str">
        <x:v>Creator description and chapter list reviewed</x:v>
      </x:c>
      <x:c r="P60" s="82" t="str">
        <x:v>Travel planning/capture lesson, not a general visual-storytelling lesson; sponsored content.</x:v>
      </x:c>
    </x:row>
    <x:row r="61" ht="64" customHeight="1">
      <x:c r="A61" s="48" t="str">
        <x:v>Beginner</x:v>
      </x:c>
      <x:c r="B61" s="104"/>
      <x:c r="C61" s="104"/>
      <x:c r="D61" s="74" t="str">
        <x:v>Travel: making available daylight usable</x:v>
      </x:c>
      <x:c r="E61" s="70" t="str">
        <x:f>IFERROR(HYPERLINK(M61,"3 Cinematic Looks With Natural Light"),"3 Cinematic Looks With Natural Light")</x:f>
        <x:v>3 Cinematic Looks With Natural Light</x:v>
      </x:c>
      <x:c r="F61" s="44" t="str">
        <x:v>Three daylight setups: position, exposure control and shaping reflected light</x:v>
      </x:c>
      <x:c r="G61" s="44" t="str">
        <x:v>Apply the daylight-positioning demonstrations to a local subject. Compare different positions instead of buying more lighting equipment.</x:v>
      </x:c>
      <x:c r="H61" s="44" t="str">
        <x:v>Transferable technique</x:v>
      </x:c>
      <x:c r="I61" s="44" t="str">
        <x:v>Travel</x:v>
      </x:c>
      <x:c r="J61" s="44" t="str">
        <x:v>Aputure</x:v>
      </x:c>
      <x:c r="K61" s="44" t="str">
        <x:v>Tool-independent</x:v>
      </x:c>
      <x:c r="L61" s="44" t="str">
        <x:v>Free lesson</x:v>
      </x:c>
      <x:c r="M61" s="78" t="str">
        <x:v>https://www.youtube.com/watch?v=OwrSQB87HOY</x:v>
      </x:c>
      <x:c r="N61" s="78" t="str">
        <x:v>https://www.youtube.com/watch?v=OwrSQB87HOY</x:v>
      </x:c>
      <x:c r="O61" s="82" t="str">
        <x:v>Detailed creator demonstration outline reviewed</x:v>
      </x:c>
      <x:c r="P61" s="82" t="str">
        <x:v>Practise the named skill; the video is not evidence of independent competence.</x:v>
      </x:c>
    </x:row>
    <x:row r="62" ht="84" customHeight="1">
      <x:c r="A62" s="48" t="str">
        <x:v>Beginner</x:v>
      </x:c>
      <x:c r="B62" s="104"/>
      <x:c r="C62" s="104"/>
      <x:c r="D62" s="74" t="str">
        <x:v>Advertising: making a product and label readable</x:v>
      </x:c>
      <x:c r="E62" s="70" t="str">
        <x:f>IFERROR(HYPERLINK(M62,"Product Lighting — Commercial
Cinematography 101"),"Product Lighting — Commercial
Cinematography 101")</x:f>
        <x:v>Product Lighting — Commercial
Cinematography 101</x:v>
      </x:c>
      <x:c r="F62" s="44" t="str">
        <x:v>Source shape and readable product reflections</x:v>
      </x:c>
      <x:c r="G62" s="44" t="str">
        <x:v>Use the product-lighting example to test reflections and legibility on one object. Ignore advanced movement until the static shot works.</x:v>
      </x:c>
      <x:c r="H62" s="44" t="str">
        <x:v>Guided technical example</x:v>
      </x:c>
      <x:c r="I62" s="44" t="str">
        <x:v>Advertising</x:v>
      </x:c>
      <x:c r="J62" s="44" t="str">
        <x:v>Aputure</x:v>
      </x:c>
      <x:c r="K62" s="44" t="str">
        <x:v>Tool-independent</x:v>
      </x:c>
      <x:c r="L62" s="44" t="str">
        <x:v>Free lesson</x:v>
      </x:c>
      <x:c r="M62" s="78" t="str">
        <x:v>https://www.youtube.com/watch?v=kjv-n7CeBNY</x:v>
      </x:c>
      <x:c r="N62" s="78" t="str">
        <x:v>https://www.youtube.com/watch?v=kjv-n7CeBNY</x:v>
      </x:c>
      <x:c r="O62" s="82" t="str">
        <x:v>Creator's detailed lesson description reviewed</x:v>
      </x:c>
      <x:c r="P62" s="82" t="str">
        <x:v>Uses a beer-bottle example; practise the lighting technique on a non-alcohol product. Not a creative-strategy or budgeting lesson. Instructor narrows the exercise; a complex commercial setup is not a beginner expectation.</x:v>
      </x:c>
    </x:row>
    <x:row r="63" ht="100" customHeight="1">
      <x:c r="A63" s="116" t="str">
        <x:v>Beginner</x:v>
      </x:c>
      <x:c r="B63" s="117" t="str">
        <x:v>B-PS
Professional Communication, Collaboration and Self-Presentation</x:v>
      </x:c>
      <x:c r="C63" s="117"/>
      <x:c r="D63" s="118" t="str">
        <x:v>Clear speaking and confidence</x:v>
      </x:c>
      <x:c r="E63" s="119" t="str">
        <x:f>IFERROR(HYPERLINK(M63,"How to Speak So That People Want to Listen"),"How to Speak So That People Want to Listen")</x:f>
        <x:v>How to Speak So That People Want to Listen</x:v>
      </x:c>
      <x:c r="F63" s="120" t="str">
        <x:v>Whole lesson; chapter timestamps not verified</x:v>
      </x:c>
      <x:c r="G63" s="120" t="str">
        <x:v>Deliver a 60-second introduction explaining your role, strengths and proposed video idea.</x:v>
      </x:c>
      <x:c r="H63" s="120" t="str">
        <x:v>Professional skills lesson (B1)</x:v>
      </x:c>
      <x:c r="I63" s="120" t="str">
        <x:v>All genres</x:v>
      </x:c>
      <x:c r="J63" s="120" t="str">
        <x:v>Julian Treasure / TED</x:v>
      </x:c>
      <x:c r="K63" s="120" t="str">
        <x:v>Tool-independent</x:v>
      </x:c>
      <x:c r="L63" s="120" t="str">
        <x:v>Free YouTube video</x:v>
      </x:c>
      <x:c r="M63" s="121" t="str">
        <x:v>https://www.youtube.com/watch?v=eIho2S0ZahI</x:v>
      </x:c>
      <x:c r="N63" s="121" t="str">
        <x:v>https://www.juliantreasure.com/ted-talks</x:v>
      </x:c>
      <x:c r="O63" s="122" t="str">
        <x:v>Approved selection. Publisher/description review; not full playback. Learner comments unverified.</x:v>
      </x:c>
      <x:c r="P63" s="122" t="str">
        <x:v>General communication lesson applied to video work.</x:v>
      </x:c>
    </x:row>
    <x:row r="64" ht="100" customHeight="1">
      <x:c r="A64" s="116" t="str">
        <x:v>Beginner</x:v>
      </x:c>
      <x:c r="B64" s="117"/>
      <x:c r="C64" s="117"/>
      <x:c r="D64" s="118" t="str">
        <x:v>Active listening and asking useful questions</x:v>
      </x:c>
      <x:c r="E64" s="119" t="str">
        <x:f>IFERROR(HYPERLINK(M64,"How to Ask Better Questions — The Art of Listening &amp; Communication"),"How to Ask Better Questions — The Art of Listening &amp; Communication")</x:f>
        <x:v>How to Ask Better Questions — The Art of Listening &amp; Communication</x:v>
      </x:c>
      <x:c r="F64" s="120" t="str">
        <x:v>Whole lesson; chapter timestamps not verified</x:v>
      </x:c>
      <x:c r="G64" s="120" t="str">
        <x:v>Interview a mock client, then summarise their audience, objective and constraints for confirmation.</x:v>
      </x:c>
      <x:c r="H64" s="120" t="str">
        <x:v>Professional skills lesson (B2)</x:v>
      </x:c>
      <x:c r="I64" s="120" t="str">
        <x:v>All genres</x:v>
      </x:c>
      <x:c r="J64" s="120" t="str">
        <x:v>Chris Do / The Futur</x:v>
      </x:c>
      <x:c r="K64" s="120" t="str">
        <x:v>Tool-independent</x:v>
      </x:c>
      <x:c r="L64" s="120" t="str">
        <x:v>Free YouTube video</x:v>
      </x:c>
      <x:c r="M64" s="121" t="str">
        <x:v>https://www.youtube.com/watch?v=KCQ7FAsZCHM</x:v>
      </x:c>
      <x:c r="N64" s="121" t="str">
        <x:v>https://thefutur.com/watch/how-to-ask-better-questions-art-of-listening</x:v>
      </x:c>
      <x:c r="O64" s="122" t="str">
        <x:v>Approved selection. Publisher/description review; not full playback. Learner comments unverified.</x:v>
      </x:c>
      <x:c r="P64" s="122" t="str">
        <x:v>Use the questioning framework in a simple brief. Practise listening and follow-up questions.</x:v>
      </x:c>
    </x:row>
    <x:row r="65" ht="100" customHeight="1">
      <x:c r="A65" s="116" t="str">
        <x:v>Beginner</x:v>
      </x:c>
      <x:c r="B65" s="117"/>
      <x:c r="C65" s="117"/>
      <x:c r="D65" s="118" t="str">
        <x:v>Constructive feedback and interpersonal skills</x:v>
      </x:c>
      <x:c r="E65" s="119" t="str">
        <x:f>IFERROR(HYPERLINK(M65,"The Secret to Giving Great Feedback"),"The Secret to Giving Great Feedback")</x:f>
        <x:v>The Secret to Giving Great Feedback</x:v>
      </x:c>
      <x:c r="F65" s="120" t="str">
        <x:v>Whole lesson; chapter timestamps not verified</x:v>
      </x:c>
      <x:c r="G65" s="120" t="str">
        <x:v>Give specific feedback on a teammate’s rough cut and practise responding without becoming defensive.</x:v>
      </x:c>
      <x:c r="H65" s="120" t="str">
        <x:v>Professional skills lesson (B3)</x:v>
      </x:c>
      <x:c r="I65" s="120" t="str">
        <x:v>All genres</x:v>
      </x:c>
      <x:c r="J65" s="120" t="str">
        <x:v>LeeAnn Renninger / TED</x:v>
      </x:c>
      <x:c r="K65" s="120" t="str">
        <x:v>Tool-independent</x:v>
      </x:c>
      <x:c r="L65" s="120" t="str">
        <x:v>Free YouTube video</x:v>
      </x:c>
      <x:c r="M65" s="121" t="str">
        <x:v>https://www.youtube.com/watch?v=wtl5UrrgU8c</x:v>
      </x:c>
      <x:c r="N65" s="121" t="str">
        <x:v>https://www.ted.com/talks/leeann_renninger_the_secret_to_giving_great_feedback</x:v>
      </x:c>
      <x:c r="O65" s="122" t="str">
        <x:v>Approved selection. Publisher/description review; not full playback. Learner comments unverified.</x:v>
      </x:c>
      <x:c r="P65" s="122" t="str">
        <x:v>General feedback framework. Apply it to a peer review of filmed or edited work.</x:v>
      </x:c>
    </x:row>
    <x:row r="66" ht="100" customHeight="1">
      <x:c r="A66" s="116" t="str">
        <x:v>Beginner</x:v>
      </x:c>
      <x:c r="B66" s="117"/>
      <x:c r="C66" s="117"/>
      <x:c r="D66" s="118" t="str">
        <x:v>Professional meetings and expectation setting</x:v>
      </x:c>
      <x:c r="E66" s="119" t="str">
        <x:f>IFERROR(HYPERLINK(M66,"Establish the Terms of Engagement During the First Client Meeting"),"Establish the Terms of Engagement During the First Client Meeting")</x:f>
        <x:v>Establish the Terms of Engagement During the First Client Meeting</x:v>
      </x:c>
      <x:c r="F66" s="120" t="str">
        <x:v>Whole lesson; chapter timestamps not verified</x:v>
      </x:c>
      <x:c r="G66" s="120" t="str">
        <x:v>Run a first project meeting and write a concise follow-up confirming responsibilities and next steps.</x:v>
      </x:c>
      <x:c r="H66" s="120" t="str">
        <x:v>Professional skills lesson (B4)</x:v>
      </x:c>
      <x:c r="I66" s="120" t="str">
        <x:v>All genres</x:v>
      </x:c>
      <x:c r="J66" s="120" t="str">
        <x:v>Chris Do and Jose Caballer / The Futur</x:v>
      </x:c>
      <x:c r="K66" s="120" t="str">
        <x:v>Tool-independent</x:v>
      </x:c>
      <x:c r="L66" s="120" t="str">
        <x:v>Free YouTube video</x:v>
      </x:c>
      <x:c r="M66" s="121" t="str">
        <x:v>https://www.youtube.com/watch?v=900fXN3dPUM</x:v>
      </x:c>
      <x:c r="N66" s="121" t="str">
        <x:v>https://thefutur.com/content/establish-terms-of-engagement-first-client-meeting</x:v>
      </x:c>
      <x:c r="O66" s="122" t="str">
        <x:v>Approved selection. Publisher/description review; not full playback. Learner comments unverified.</x:v>
      </x:c>
      <x:c r="P66" s="122" t="str">
        <x:v>Creative-service meeting guidance. Adapt to a client or an internal stakeholder.</x:v>
      </x:c>
    </x:row>
    <x:row r="67" ht="100" customHeight="1">
      <x:c r="A67" s="116" t="str">
        <x:v>Beginner</x:v>
      </x:c>
      <x:c r="B67" s="117"/>
      <x:c r="C67" s="117"/>
      <x:c r="D67" s="118" t="str">
        <x:v>Introducing your work and basic marketing</x:v>
      </x:c>
      <x:c r="E67" s="119" t="str">
        <x:f>IFERROR(HYPERLINK(M67,"How to Land More Clients Using YouTube! — 3 Examples"),"How to Land More Clients Using YouTube! — 3 Examples")</x:f>
        <x:v>How to Land More Clients Using YouTube! — 3 Examples</x:v>
      </x:c>
      <x:c r="F67" s="120" t="str">
        <x:v>Whole lesson; chapter timestamps not verified</x:v>
      </x:c>
      <x:c r="G67" s="120" t="str">
        <x:v>Plan one sample video that demonstrates how you could help a specific organisation or client.</x:v>
      </x:c>
      <x:c r="H67" s="120" t="str">
        <x:v>Professional skills lesson (B5)</x:v>
      </x:c>
      <x:c r="I67" s="120" t="str">
        <x:v>All genres</x:v>
      </x:c>
      <x:c r="J67" s="120" t="str">
        <x:v>Full Time Filmmaker</x:v>
      </x:c>
      <x:c r="K67" s="120" t="str">
        <x:v>Tool-independent</x:v>
      </x:c>
      <x:c r="L67" s="120" t="str">
        <x:v>Free YouTube video</x:v>
      </x:c>
      <x:c r="M67" s="121" t="str">
        <x:v>https://www.youtube.com/watch?v=PTrzBUL6e0A</x:v>
      </x:c>
      <x:c r="N67" s="121" t="str">
        <x:v>https://www.youtube.com/watch?v=PTrzBUL6e0A</x:v>
      </x:c>
      <x:c r="O67" s="122" t="str">
        <x:v>Approved selection. Publisher/description review; not full playback. Learner comments unverified.</x:v>
      </x:c>
      <x:c r="P67" s="122" t="str">
        <x:v>Module assessment: simulated first meeting, short concept presentation and written follow-up.</x:v>
      </x:c>
    </x:row>
    <x:row r="68" ht="64" customHeight="1">
      <x:c r="A68" s="48" t="str">
        <x:v>Beginner</x:v>
      </x:c>
      <x:c r="B68" s="104" t="str">
        <x:v>B14
Independent beginner final project</x:v>
      </x:c>
      <x:c r="C68" s="104"/>
      <x:c r="D68" s="75" t="str">
        <x:v>Planning phase: a shootable shot checklist</x:v>
      </x:c>
      <x:c r="E68" s="71" t="str">
        <x:f>IFERROR(HYPERLINK(M68,"Intro to Shot Listing"),"Intro to Shot Listing")</x:f>
        <x:v>Intro to Shot Listing</x:v>
      </x:c>
      <x:c r="F68" s="52" t="str">
        <x:v>Whole focused lesson; no chapter markers verified</x:v>
      </x:c>
      <x:c r="G68" s="52" t="str">
        <x:v>Use this only when preparing the new project's shot list. The learner must make a fresh plan rather than copy the guided exercise.</x:v>
      </x:c>
      <x:c r="H68" s="52" t="str">
        <x:v>Capstone phase support</x:v>
      </x:c>
      <x:c r="I68" s="52" t="str">
        <x:v>All genres</x:v>
      </x:c>
      <x:c r="J68" s="52" t="str">
        <x:v>StudioBinder</x:v>
      </x:c>
      <x:c r="K68" s="52" t="str">
        <x:v>StudioBinder; principles transferable</x:v>
      </x:c>
      <x:c r="L68" s="52" t="str">
        <x:v>Free lesson</x:v>
      </x:c>
      <x:c r="M68" s="79" t="str">
        <x:v>https://www.studiobinder.com/tutorials/visualize/intro-to-shot-list/</x:v>
      </x:c>
      <x:c r="N68" s="79" t="str">
        <x:v>https://www.studiobinder.com/tutorials/visualize/intro-to-shot-list/</x:v>
      </x:c>
      <x:c r="O68" s="83" t="str">
        <x:v>Publisher's named video lessons reviewed</x:v>
      </x:c>
      <x:c r="P68" s="83" t="str">
        <x:v>Practise the named skill; the video is not evidence of independent competence.</x:v>
      </x:c>
    </x:row>
    <x:row r="69" ht="64" customHeight="1">
      <x:c r="A69" s="48" t="str">
        <x:v>Beginner</x:v>
      </x:c>
      <x:c r="B69" s="104"/>
      <x:c r="C69" s="104"/>
      <x:c r="D69" s="75" t="str">
        <x:v>Capture phase: a usable speech recording</x:v>
      </x:c>
      <x:c r="E69" s="71" t="str">
        <x:f>IFERROR(HYPERLINK(M69,"An Activist's Guide to Mobile Video — Sound
Recording"),"An Activist's Guide to Mobile Video — Sound
Recording")</x:f>
        <x:v>An Activist's Guide to Mobile Video — Sound
Recording</x:v>
      </x:c>
      <x:c r="F69" s="52" t="str">
        <x:v>Whole focused lesson; no chapter markers verified</x:v>
      </x:c>
      <x:c r="G69" s="52" t="str">
        <x:v>Revisit practical sound capture before recording the new project. Submit original sound evidence even when the finished film has no speech.</x:v>
      </x:c>
      <x:c r="H69" s="52" t="str">
        <x:v>Capstone phase support</x:v>
      </x:c>
      <x:c r="I69" s="52" t="str">
        <x:v>All genres</x:v>
      </x:c>
      <x:c r="J69" s="52" t="str">
        <x:v>WITNESS</x:v>
      </x:c>
      <x:c r="K69" s="52" t="str">
        <x:v>Tool-independent</x:v>
      </x:c>
      <x:c r="L69" s="52" t="str">
        <x:v>Free lesson</x:v>
      </x:c>
      <x:c r="M69" s="79" t="str">
        <x:v>https://www.youtube.com/watch?v=U5I4AZL0erc</x:v>
      </x:c>
      <x:c r="N69" s="79" t="str">
        <x:v>https://library.witness.org/product/an-activists-guide-to-mobile-video-sound-recording/</x:v>
      </x:c>
      <x:c r="O69" s="83" t="str">
        <x:v>Publisher video description reviewed</x:v>
      </x:c>
      <x:c r="P69" s="83" t="str">
        <x:v>Older phone accessories; check connector compatibility. Transfer the capture principles.</x:v>
      </x:c>
    </x:row>
    <x:row r="70" ht="64" customHeight="1">
      <x:c r="A70" s="48" t="str">
        <x:v>Beginner</x:v>
      </x:c>
      <x:c r="B70" s="104"/>
      <x:c r="C70" s="104"/>
      <x:c r="D70" s="75" t="str">
        <x:v>Edit phase: turning selected shots into a sequence</x:v>
      </x:c>
      <x:c r="E70" s="71" t="str">
        <x:f>IFERROR(HYPERLINK(M70,"Add clips to your sequence"),"Add clips to your sequence")</x:f>
        <x:v>Add clips to your sequence</x:v>
      </x:c>
      <x:c r="F70" s="52" t="str">
        <x:v>00:09 rough cut; 00:57 In/Out; 01:35 insert versus overwrite</x:v>
      </x:c>
      <x:c r="G70" s="52" t="str">
        <x:v>Use the rough-cut operation to build the new video independently. The instructor reviews the sequence, not software-menu recall.</x:v>
      </x:c>
      <x:c r="H70" s="52" t="str">
        <x:v>Capstone phase support</x:v>
      </x:c>
      <x:c r="I70" s="52" t="str">
        <x:v>All genres</x:v>
      </x:c>
      <x:c r="J70" s="52" t="str">
        <x:v>Adobe / Hallease Narvaez</x:v>
      </x:c>
      <x:c r="K70" s="52" t="str">
        <x:v>Premiere Pro</x:v>
      </x:c>
      <x:c r="L70" s="52" t="str">
        <x:v>Free lesson</x:v>
      </x:c>
      <x:c r="M70" s="79" t="str">
        <x:v>https://www.adobe.com/learn/premiere-pro/web/add-clips-to-sequence</x:v>
      </x:c>
      <x:c r="N70" s="79" t="str">
        <x:v>https://www.adobe.com/learn/premiere-pro/web/add-clips-to-sequence</x:v>
      </x:c>
      <x:c r="O70" s="83" t="str">
        <x:v>Published video transcript reviewed</x:v>
      </x:c>
      <x:c r="P70" s="83" t="str">
        <x:v>Practise the named skill; the video is not evidence of independent competence.</x:v>
      </x:c>
    </x:row>
    <x:row r="71" ht="64" customHeight="1">
      <x:c r="A71" s="48" t="str">
        <x:v>Beginner</x:v>
      </x:c>
      <x:c r="B71" s="104"/>
      <x:c r="C71" s="104"/>
      <x:c r="D71" s="75" t="str">
        <x:v>Delivery phase: a named, playable export</x:v>
      </x:c>
      <x:c r="E71" s="71" t="str">
        <x:f>IFERROR(HYPERLINK(M71,"Share your videos fast using Quick Export"),"Share your videos fast using Quick Export")</x:f>
        <x:v>Share your videos fast using Quick Export</x:v>
      </x:c>
      <x:c r="F71" s="52" t="str">
        <x:v>Quick Export: filename, destination and preset</x:v>
      </x:c>
      <x:c r="G71" s="52" t="str">
        <x:v>Export the new project and inspect the whole file. The learner remains responsible for clear images, sound and correct text.</x:v>
      </x:c>
      <x:c r="H71" s="52" t="str">
        <x:v>Capstone phase support</x:v>
      </x:c>
      <x:c r="I71" s="52" t="str">
        <x:v>All genres</x:v>
      </x:c>
      <x:c r="J71" s="52" t="str">
        <x:v>Adobe / Hallease Narvaez</x:v>
      </x:c>
      <x:c r="K71" s="52" t="str">
        <x:v>Premiere Pro</x:v>
      </x:c>
      <x:c r="L71" s="52" t="str">
        <x:v>Free lesson</x:v>
      </x:c>
      <x:c r="M71" s="79" t="str">
        <x:v>https://www.adobe.com/learn/premiere-pro/web/quick-export-share-video</x:v>
      </x:c>
      <x:c r="N71" s="79" t="str">
        <x:v>https://www.adobe.com/learn/premiere-pro/web/quick-export-share-video</x:v>
      </x:c>
      <x:c r="O71" s="83" t="str">
        <x:v>Publisher video transcript reviewed</x:v>
      </x:c>
      <x:c r="P71" s="83" t="str">
        <x:v>Simple MP4 delivery only; advanced specifications need a separate lesson.</x:v>
      </x:c>
    </x:row>
    <x:row r="72" ht="64" customHeight="1">
      <x:c r="A72" s="56" t="str">
        <x:v>Intermediate</x:v>
      </x:c>
      <x:c r="B72" s="98" t="str">
        <x:v>I01
Story, audience and visual intention</x:v>
      </x:c>
      <x:c r="C72" s="98"/>
      <x:c r="D72" s="74" t="str">
        <x:v>Constructing meaning without explanatory dialogue</x:v>
      </x:c>
      <x:c r="E72" s="70" t="str">
        <x:f>IFERROR(HYPERLINK(M72,"Visual Storytelling in Filmmaking"),"Visual Storytelling in Filmmaking")</x:f>
        <x:v>Visual Storytelling in Filmmaking</x:v>
      </x:c>
      <x:c r="F72" s="44" t="str">
        <x:v>Whole focused lesson; no chapter markers verified</x:v>
      </x:c>
      <x:c r="G72" s="44" t="str">
        <x:v>Supports a deliberate image-led treatment. Compare what the audience understands with and without narration.</x:v>
      </x:c>
      <x:c r="H72" s="44" t="str">
        <x:v>Core lesson</x:v>
      </x:c>
      <x:c r="I72" s="44" t="str">
        <x:v>All genres</x:v>
      </x:c>
      <x:c r="J72" s="44" t="str">
        <x:v>DSLRguide / Simon Cade</x:v>
      </x:c>
      <x:c r="K72" s="44" t="str">
        <x:v>Tool-independent</x:v>
      </x:c>
      <x:c r="L72" s="44" t="str">
        <x:v>Free lesson</x:v>
      </x:c>
      <x:c r="M72" s="78" t="str">
        <x:v>https://www.youtube.com/watch?v=4X5xvlTZpcY</x:v>
      </x:c>
      <x:c r="N72" s="78" t="str">
        <x:v>https://vimeo.com/127744356</x:v>
      </x:c>
      <x:c r="O72" s="82" t="str">
        <x:v>Creator's video description reviewed</x:v>
      </x:c>
      <x:c r="P72" s="82" t="str">
        <x:v>Practise the named skill; the video is not evidence of independent competence.</x:v>
      </x:c>
    </x:row>
    <x:row r="73" ht="64" customHeight="1">
      <x:c r="A73" s="56" t="str">
        <x:v>Intermediate</x:v>
      </x:c>
      <x:c r="B73" s="98"/>
      <x:c r="C73" s="98"/>
      <x:c r="D73" s="74" t="str">
        <x:v>Framing as a storytelling decision</x:v>
      </x:c>
      <x:c r="E73" s="70" t="str">
        <x:f>IFERROR(HYPERLINK(M73,"Composition + Framing — Storytelling with
Cinematography"),"Composition + Framing — Storytelling with
Cinematography")</x:f>
        <x:v>Composition + Framing — Storytelling with
Cinematography</x:v>
      </x:c>
      <x:c r="F73" s="44" t="str">
        <x:v>Whole focused lesson; no chapter markers verified</x:v>
      </x:c>
      <x:c r="G73" s="44" t="str">
        <x:v>Explains how composition communicates ideas and emotion. Design two different visual approaches to the same subject.</x:v>
      </x:c>
      <x:c r="H73" s="44" t="str">
        <x:v>Core lesson</x:v>
      </x:c>
      <x:c r="I73" s="44" t="str">
        <x:v>All genres</x:v>
      </x:c>
      <x:c r="J73" s="44" t="str">
        <x:v>DSLRguide / Simon Cade</x:v>
      </x:c>
      <x:c r="K73" s="44" t="str">
        <x:v>Tool-independent</x:v>
      </x:c>
      <x:c r="L73" s="44" t="str">
        <x:v>Free lesson</x:v>
      </x:c>
      <x:c r="M73" s="78" t="str">
        <x:v>https://www.youtube.com/watch?v=MfIanZimZR8</x:v>
      </x:c>
      <x:c r="N73" s="78" t="str">
        <x:v>https://www.youtube.com/watch?v=MfIanZimZR8</x:v>
      </x:c>
      <x:c r="O73" s="82" t="str">
        <x:v>Creator's detailed video description reviewed</x:v>
      </x:c>
      <x:c r="P73" s="82" t="str">
        <x:v>Practise the named skill; the video is not evidence of independent competence.</x:v>
      </x:c>
    </x:row>
    <x:row r="74" ht="64" customHeight="1">
      <x:c r="A74" s="56" t="str">
        <x:v>Intermediate</x:v>
      </x:c>
      <x:c r="B74" s="98"/>
      <x:c r="C74" s="98"/>
      <x:c r="D74" s="74" t="str">
        <x:v>Changing tone while retaining the same source material</x:v>
      </x:c>
      <x:c r="E74" s="70" t="str">
        <x:f>IFERROR(HYPERLINK(M74,"How Editors Cut the Same Scene in 2
Completely Different Ways"),"How Editors Cut the Same Scene in 2
Completely Different Ways")</x:f>
        <x:v>How Editors Cut the Same Scene in 2
Completely Different Ways</x:v>
      </x:c>
      <x:c r="F74" s="44" t="str">
        <x:v>02:18 and 04:01 cuts; 13:42 tone; 16:28 music</x:v>
      </x:c>
      <x:c r="G74" s="44" t="str">
        <x:v>Two documentary cuts demonstrate how structure, music and spacing change interpretation. Use the comparison to justify the chosen treatment.</x:v>
      </x:c>
      <x:c r="H74" s="44" t="str">
        <x:v>Supporting case study</x:v>
      </x:c>
      <x:c r="I74" s="44" t="str">
        <x:v>All genres</x:v>
      </x:c>
      <x:c r="J74" s="44" t="str">
        <x:v>Inside The Edit</x:v>
      </x:c>
      <x:c r="K74" s="44" t="str">
        <x:v>Tool-independent</x:v>
      </x:c>
      <x:c r="L74" s="44" t="str">
        <x:v>Free lesson</x:v>
      </x:c>
      <x:c r="M74" s="78" t="str">
        <x:v>https://www.youtube.com/watch?v=KAO0n3C0kAg</x:v>
      </x:c>
      <x:c r="N74" s="78" t="str">
        <x:v>https://www.youtube.com/watch?v=KAO0n3C0kAg</x:v>
      </x:c>
      <x:c r="O74" s="82" t="str">
        <x:v>Creator description and chapter list reviewed</x:v>
      </x:c>
      <x:c r="P74" s="82" t="str">
        <x:v>Editorial case study used to analyse visual intention, not a production-planning lesson.</x:v>
      </x:c>
    </x:row>
    <x:row r="75" ht="64" customHeight="1">
      <x:c r="A75" s="56" t="str">
        <x:v>Intermediate</x:v>
      </x:c>
      <x:c r="B75" s="98" t="str">
        <x:v>I02
Brief development, research and creative treatment</x:v>
      </x:c>
      <x:c r="C75" s="98"/>
      <x:c r="D75" s="75" t="str">
        <x:v>Clarifying audience, objective, scope and deliverables</x:v>
      </x:c>
      <x:c r="E75" s="71" t="str">
        <x:f>IFERROR(HYPERLINK(M75,"What Is a Creative Brief? How to Write One
That Aligns Your Team"),"What Is a Creative Brief? How to Write One
That Aligns Your Team")</x:f>
        <x:v>What Is a Creative Brief? How to Write One
That Aligns Your Team</x:v>
      </x:c>
      <x:c r="F75" s="52" t="str">
        <x:v>00:39–02:07: objectives, audience, deliverables and scope</x:v>
      </x:c>
      <x:c r="G75" s="52" t="str">
        <x:v>Directly supports converting a vague request into a usable brief. Record the decision owner and intended audience response.</x:v>
      </x:c>
      <x:c r="H75" s="52" t="str">
        <x:v>Core lesson</x:v>
      </x:c>
      <x:c r="I75" s="52" t="str">
        <x:v>All genres</x:v>
      </x:c>
      <x:c r="J75" s="52" t="str">
        <x:v>Ziflow</x:v>
      </x:c>
      <x:c r="K75" s="52" t="str">
        <x:v>Tool-independent</x:v>
      </x:c>
      <x:c r="L75" s="52" t="str">
        <x:v>Free lesson</x:v>
      </x:c>
      <x:c r="M75" s="79" t="str">
        <x:v>https://www.youtube.com/watch?v=ViDQfqfxWdQ</x:v>
      </x:c>
      <x:c r="N75" s="79" t="str">
        <x:v>https://www.youtube.com/watch?v=ViDQfqfxWdQ</x:v>
      </x:c>
      <x:c r="O75" s="83" t="str">
        <x:v>Creator description and published topics reviewed</x:v>
      </x:c>
      <x:c r="P75" s="83" t="str">
        <x:v>Practise the named skill; the video is not evidence of independent competence.</x:v>
      </x:c>
    </x:row>
    <x:row r="76" ht="64" customHeight="1">
      <x:c r="A76" s="56" t="str">
        <x:v>Intermediate</x:v>
      </x:c>
      <x:c r="B76" s="98"/>
      <x:c r="C76" s="98"/>
      <x:c r="D76" s="75" t="str">
        <x:v>Writing the director's treatment</x:v>
      </x:c>
      <x:c r="E76" s="71" t="str">
        <x:f>IFERROR(HYPERLINK(M76,"How To Write A Director's Treatment (FAST)?"),"How To Write A Director's Treatment (FAST)?")</x:f>
        <x:v>How To Write A Director's Treatment (FAST)?</x:v>
      </x:c>
      <x:c r="F76" s="52" t="str">
        <x:v>08:34–30:19: what to write in a director's treatment</x:v>
      </x:c>
      <x:c r="G76" s="52" t="str">
        <x:v>The writing portion explains how to communicate a creative approach. Develop a treatment that covers the proposed image and sound direction.</x:v>
      </x:c>
      <x:c r="H76" s="52" t="str">
        <x:v>Core lesson</x:v>
      </x:c>
      <x:c r="I76" s="52" t="str">
        <x:v>All genres</x:v>
      </x:c>
      <x:c r="J76" s="52" t="str">
        <x:v>Robin Piree</x:v>
      </x:c>
      <x:c r="K76" s="52" t="str">
        <x:v>Tool-independent</x:v>
      </x:c>
      <x:c r="L76" s="52" t="str">
        <x:v>Free lesson</x:v>
      </x:c>
      <x:c r="M76" s="79" t="str">
        <x:v>https://www.youtube.com/watch?v=ennTIMMYYXg</x:v>
      </x:c>
      <x:c r="N76" s="79" t="str">
        <x:v>https://www.youtube.com/watch?v=ennTIMMYYXg</x:v>
      </x:c>
      <x:c r="O76" s="83" t="str">
        <x:v>Creator description and published topics reviewed</x:v>
      </x:c>
      <x:c r="P76" s="83" t="str">
        <x:v>Practise the named skill; the video is not evidence of independent competence.</x:v>
      </x:c>
    </x:row>
    <x:row r="77" ht="64" customHeight="1">
      <x:c r="A77" s="56" t="str">
        <x:v>Intermediate</x:v>
      </x:c>
      <x:c r="B77" s="98"/>
      <x:c r="C77" s="98"/>
      <x:c r="D77" s="75" t="str">
        <x:v>Developing a corporate brief and treatment</x:v>
      </x:c>
      <x:c r="E77" s="71" t="str">
        <x:f>IFERROR(HYPERLINK(M77,"Corporate Video Guide"),"Corporate Video Guide")</x:f>
        <x:v>Corporate Video Guide</x:v>
      </x:c>
      <x:c r="F77" s="52" t="str">
        <x:v>Lesson 1.3: brief and treatment</x:v>
      </x:c>
      <x:c r="G77" s="52" t="str">
        <x:v>The named business-video lesson applies briefing to client work. Use it as an optional worked example, not as the entire curriculum.</x:v>
      </x:c>
      <x:c r="H77" s="52" t="str">
        <x:v>Optional paid lesson</x:v>
      </x:c>
      <x:c r="I77" s="52" t="str">
        <x:v>Corporate</x:v>
      </x:c>
      <x:c r="J77" s="52" t="str">
        <x:v>DSLR Video Shooter / Caleb Pike</x:v>
      </x:c>
      <x:c r="K77" s="52" t="str">
        <x:v>Tool-independent</x:v>
      </x:c>
      <x:c r="L77" s="62" t="str">
        <x:v>Paid / subscription</x:v>
      </x:c>
      <x:c r="M77" s="79" t="str">
        <x:v>https://academy.dslrvideoshooter.com/courses/corporate-video-guide</x:v>
      </x:c>
      <x:c r="N77" s="79" t="str">
        <x:v>https://academy.dslrvideoshooter.com/courses/corporate-video-guide</x:v>
      </x:c>
      <x:c r="O77" s="83" t="str">
        <x:v>Publisher syllabus and named sections reviewed; paid lessons not accessed</x:v>
      </x:c>
      <x:c r="P77" s="83" t="str">
        <x:v>Optional paid resource. Only the named section is assigned; full course and playback not audited.</x:v>
      </x:c>
    </x:row>
    <x:row r="78" ht="64" customHeight="1">
      <x:c r="A78" s="56" t="str">
        <x:v>Intermediate</x:v>
      </x:c>
      <x:c r="B78" s="98" t="str">
        <x:v>I03
Shoot planning, logistics and risk management</x:v>
      </x:c>
      <x:c r="C78" s="98"/>
      <x:c r="D78" s="74" t="str">
        <x:v>Technical location recce and feasibility</x:v>
      </x:c>
      <x:c r="E78" s="70" t="str">
        <x:f>IFERROR(HYPERLINK(M78,"Location Scouting Explained — with Tech
Scout Checklist"),"Location Scouting Explained — with Tech
Scout Checklist")</x:f>
        <x:v>Location Scouting Explained — with Tech
Scout Checklist</x:v>
      </x:c>
      <x:c r="F78" s="44" t="str">
        <x:v>Technical scout: light, sound, electrical supply and practical access</x:v>
      </x:c>
      <x:c r="G78" s="44" t="str">
        <x:v>Checks lighting, sound, power and access before production. Turn findings into an equipment plan and a fallback location decision.</x:v>
      </x:c>
      <x:c r="H78" s="44" t="str">
        <x:v>Core lesson</x:v>
      </x:c>
      <x:c r="I78" s="44" t="str">
        <x:v>All genres</x:v>
      </x:c>
      <x:c r="J78" s="44" t="str">
        <x:v>StudioBinder</x:v>
      </x:c>
      <x:c r="K78" s="44" t="str">
        <x:v>Tool-independent</x:v>
      </x:c>
      <x:c r="L78" s="44" t="str">
        <x:v>Free lesson</x:v>
      </x:c>
      <x:c r="M78" s="78" t="str">
        <x:v>https://www.youtube.com/watch?v=0dfsxW0BrXQ</x:v>
      </x:c>
      <x:c r="N78" s="78" t="str">
        <x:v>https://www.youtube.com/watch?v=0dfsxW0BrXQ</x:v>
      </x:c>
      <x:c r="O78" s="82" t="str">
        <x:v>Creator description and published topics reviewed</x:v>
      </x:c>
      <x:c r="P78" s="82" t="str">
        <x:v>Practise the named skill; the video is not evidence of independent competence.</x:v>
      </x:c>
    </x:row>
    <x:row r="79" ht="64" customHeight="1">
      <x:c r="A79" s="56" t="str">
        <x:v>Intermediate</x:v>
      </x:c>
      <x:c r="B79" s="98"/>
      <x:c r="C79" s="98"/>
      <x:c r="D79" s="74" t="str">
        <x:v>Budget assumptions and production categories</x:v>
      </x:c>
      <x:c r="E79" s="70" t="str">
        <x:f>IFERROR(HYPERLINK(M79,"How To Make A Film Budget | Tutorial + Free
Download"),"How To Make A Film Budget | Tutorial + Free
Download")</x:f>
        <x:v>How To Make A Film Budget | Tutorial + Free
Download</x:v>
      </x:c>
      <x:c r="F79" s="44" t="str">
        <x:v>Budget assumptions and above-/below-the-line categories</x:v>
      </x:c>
      <x:c r="G79" s="44" t="str">
        <x:v>Builds a film budget from stated assumptions. Estimate the resources required by the shoot plan rather than starting with an arbitrary total.</x:v>
      </x:c>
      <x:c r="H79" s="44" t="str">
        <x:v>Core lesson</x:v>
      </x:c>
      <x:c r="I79" s="44" t="str">
        <x:v>All genres</x:v>
      </x:c>
      <x:c r="J79" s="44" t="str">
        <x:v>Curren Sheldon</x:v>
      </x:c>
      <x:c r="K79" s="44" t="str">
        <x:v>Tool-independent</x:v>
      </x:c>
      <x:c r="L79" s="44" t="str">
        <x:v>Free lesson</x:v>
      </x:c>
      <x:c r="M79" s="78" t="str">
        <x:v>https://www.youtube.com/watch?v=kLnW3pkBcPI</x:v>
      </x:c>
      <x:c r="N79" s="78" t="str">
        <x:v>https://www.youtube.com/watch?v=kLnW3pkBcPI</x:v>
      </x:c>
      <x:c r="O79" s="82" t="str">
        <x:v>Creator's lesson description reviewed</x:v>
      </x:c>
      <x:c r="P79" s="82" t="str">
        <x:v>Video is free; the optional template requires newsletter registration. Adapt categories to a small production.</x:v>
      </x:c>
    </x:row>
    <x:row r="80" ht="64" customHeight="1">
      <x:c r="A80" s="56" t="str">
        <x:v>Intermediate</x:v>
      </x:c>
      <x:c r="B80" s="98"/>
      <x:c r="C80" s="98"/>
      <x:c r="D80" s="74" t="str">
        <x:v>Communicating the schedule and responsibilities</x:v>
      </x:c>
      <x:c r="E80" s="70" t="str">
        <x:f>IFERROR(HYPERLINK(M80,"A Producer's Guide to Call Sheets"),"A Producer's Guide to Call Sheets")</x:f>
        <x:v>A Producer's Guide to Call Sheets</x:v>
      </x:c>
      <x:c r="F80" s="44" t="str">
        <x:v>Whole focused lesson; no chapter markers verified</x:v>
      </x:c>
      <x:c r="G80" s="44" t="str">
        <x:v>Teaches the production information a call sheet must communicate. Prepare a shoot-day document another crew member can follow.</x:v>
      </x:c>
      <x:c r="H80" s="44" t="str">
        <x:v>Core lesson</x:v>
      </x:c>
      <x:c r="I80" s="44" t="str">
        <x:v>All genres</x:v>
      </x:c>
      <x:c r="J80" s="44" t="str">
        <x:v>StudioBinder</x:v>
      </x:c>
      <x:c r="K80" s="44" t="str">
        <x:v>StudioBinder</x:v>
      </x:c>
      <x:c r="L80" s="44" t="str">
        <x:v>Free lesson</x:v>
      </x:c>
      <x:c r="M80" s="78" t="str">
        <x:v>https://www.studiobinder.com/tutorials/shoot/producers-guide-to-call-sheets/</x:v>
      </x:c>
      <x:c r="N80" s="78" t="str">
        <x:v>https://www.studiobinder.com/tutorials/shoot/producers-guide-to-call-sheets/</x:v>
      </x:c>
      <x:c r="O80" s="82" t="str">
        <x:v>Publisher's named video lessons reviewed</x:v>
      </x:c>
      <x:c r="P80" s="82" t="str">
        <x:v>Practise the named skill; the video is not evidence of independent competence.</x:v>
      </x:c>
    </x:row>
    <x:row r="81" ht="64" customHeight="1">
      <x:c r="A81" s="56" t="str">
        <x:v>Intermediate</x:v>
      </x:c>
      <x:c r="B81" s="98"/>
      <x:c r="C81" s="98"/>
      <x:c r="D81" s="74" t="str">
        <x:v>Coverage priorities within a practical shot list</x:v>
      </x:c>
      <x:c r="E81" s="70" t="str">
        <x:f>IFERROR(HYPERLINK(M81,"A Director's Guide to Shot Listing"),"A Director's Guide to Shot Listing")</x:f>
        <x:v>A Director's Guide to Shot Listing</x:v>
      </x:c>
      <x:c r="F81" s="44" t="str">
        <x:v>Whole focused lesson; no chapter markers verified</x:v>
      </x:c>
      <x:c r="G81" s="44" t="str">
        <x:v>Connects the director's coverage plan to the shooting document. Separate essential story shots from optional additions.</x:v>
      </x:c>
      <x:c r="H81" s="44" t="str">
        <x:v>Core lesson</x:v>
      </x:c>
      <x:c r="I81" s="44" t="str">
        <x:v>All genres</x:v>
      </x:c>
      <x:c r="J81" s="44" t="str">
        <x:v>StudioBinder</x:v>
      </x:c>
      <x:c r="K81" s="44" t="str">
        <x:v>StudioBinder; principles transferable</x:v>
      </x:c>
      <x:c r="L81" s="44" t="str">
        <x:v>Free lesson</x:v>
      </x:c>
      <x:c r="M81" s="78" t="str">
        <x:v>https://www.studiobinder.com/tutorials/visualize/directors-guide-to-shot-list/</x:v>
      </x:c>
      <x:c r="N81" s="78" t="str">
        <x:v>https://www.studiobinder.com/tutorials/visualize/directors-guide-to-shot-list/</x:v>
      </x:c>
      <x:c r="O81" s="82" t="str">
        <x:v>Publisher's named video lessons reviewed</x:v>
      </x:c>
      <x:c r="P81" s="82" t="str">
        <x:v>Practise the named skill; the video is not evidence of independent competence.</x:v>
      </x:c>
    </x:row>
    <x:row r="82" ht="96" customHeight="1">
      <x:c r="A82" s="112" t="str">
        <x:v>Intermediate</x:v>
      </x:c>
      <x:c r="B82" s="113"/>
      <x:c r="C82" s="113"/>
      <x:c r="D82" s="107" t="str">
        <x:v>AI-assisted script queries and schedule revision</x:v>
      </x:c>
      <x:c r="E82" s="108" t="str">
        <x:f>IFERROR(HYPERLINK(M82,"Filmustage AI Dude walkthrough"),"Filmustage AI Dude walkthrough")</x:f>
        <x:v>Filmustage AI Dude walkthrough</x:v>
      </x:c>
      <x:c r="F82" s="109" t="str">
        <x:v>Whole focused tutorial / case study; chapter timestamps not verified</x:v>
      </x:c>
      <x:c r="G82" s="109" t="str">
        <x:v>Query breakdown elements and inspect proposed schedule changes against crew, location and production constraints.</x:v>
      </x:c>
      <x:c r="H82" s="109" t="str">
        <x:v>AI hybrid lesson (I-AI01)</x:v>
      </x:c>
      <x:c r="I82" s="109" t="str">
        <x:v>All genres</x:v>
      </x:c>
      <x:c r="J82" s="109" t="str">
        <x:v>Filmustage</x:v>
      </x:c>
      <x:c r="K82" s="109" t="str">
        <x:v>Filmustage AI Dude</x:v>
      </x:c>
      <x:c r="L82" s="109" t="str">
        <x:v>Free YouTube video; tool access may be paid</x:v>
      </x:c>
      <x:c r="M82" s="110" t="str">
        <x:v>https://www.youtube.com/watch?v=9Sq7GPrewHo</x:v>
      </x:c>
      <x:c r="N82" s="110" t="str">
        <x:v>https://www.youtube.com/watch?v=9Sq7GPrewHo</x:v>
      </x:c>
      <x:c r="O82" s="111" t="str">
        <x:v>Description / publisher references reviewed; learner comments and counts unverified</x:v>
      </x:c>
      <x:c r="P82" s="111" t="str">
        <x:v>Review proposed changes before accepting them.</x:v>
      </x:c>
    </x:row>
    <x:row r="83" ht="72" customHeight="1">
      <x:c r="A83" s="56" t="str">
        <x:v>Intermediate</x:v>
      </x:c>
      <x:c r="B83" s="98" t="str">
        <x:v>I04
Camera consistency and purposeful image capture</x:v>
      </x:c>
      <x:c r="C83" s="98"/>
      <x:c r="D83" s="75" t="str">
        <x:v>Exposure decisions under challenging contrast</x:v>
      </x:c>
      <x:c r="E83" s="71" t="str">
        <x:f>IFERROR(HYPERLINK(M83,"How Cinematographers Set Their Exposure"),"How Cinematographers Set Their Exposure")</x:f>
        <x:v>How Cinematographers Set Their Exposure</x:v>
      </x:c>
      <x:c r="F83" s="52" t="str">
        <x:v>Exposure judgement, highlights, contrast and measurement tools</x:v>
      </x:c>
      <x:c r="G83" s="52" t="str">
        <x:v>Explains exposure judgement and measurement tools. Test whether important highlights and subject detail survive the planned camera-to-edit workflow.</x:v>
      </x:c>
      <x:c r="H83" s="52" t="str">
        <x:v>Core lesson</x:v>
      </x:c>
      <x:c r="I83" s="52" t="str">
        <x:v>All genres</x:v>
      </x:c>
      <x:c r="J83" s="52" t="str">
        <x:v>In Depth Cine</x:v>
      </x:c>
      <x:c r="K83" s="52" t="str">
        <x:v>Tool-independent</x:v>
      </x:c>
      <x:c r="L83" s="52" t="str">
        <x:v>Free lesson</x:v>
      </x:c>
      <x:c r="M83" s="79" t="str">
        <x:v>https://www.youtube.com/watch?v=f8Ame_LJDOU</x:v>
      </x:c>
      <x:c r="N83" s="79" t="str">
        <x:v>https://www.indepthcine.com/videos/exposure</x:v>
      </x:c>
      <x:c r="O83" s="83" t="str">
        <x:v>Creator's published transcript reviewed</x:v>
      </x:c>
      <x:c r="P83" s="83" t="str">
        <x:v>Test the actual camera and recording format; numerical camera claims are not universal.</x:v>
      </x:c>
    </x:row>
    <x:row r="84" ht="64" customHeight="1">
      <x:c r="A84" s="56" t="str">
        <x:v>Intermediate</x:v>
      </x:c>
      <x:c r="B84" s="98"/>
      <x:c r="C84" s="98"/>
      <x:c r="D84" s="75" t="str">
        <x:v>Choosing capture frame rate for intended motion</x:v>
      </x:c>
      <x:c r="E84" s="71" t="str">
        <x:f>IFERROR(HYPERLINK(M84,"What is Frame Rate? Frames Per Second
Explained"),"What is Frame Rate? Frames Per Second
Explained")</x:f>
        <x:v>What is Frame Rate? Frames Per Second
Explained</x:v>
      </x:c>
      <x:c r="F84" s="52" t="str">
        <x:v>Whole focused lesson; no chapter markers verified</x:v>
      </x:c>
      <x:c r="G84" s="52" t="str">
        <x:v>Explains frame-rate consequences. Choose the setting for normal playback or deliberate slow motion and test the result.</x:v>
      </x:c>
      <x:c r="H84" s="52" t="str">
        <x:v>Core lesson</x:v>
      </x:c>
      <x:c r="I84" s="52" t="str">
        <x:v>All genres</x:v>
      </x:c>
      <x:c r="J84" s="52" t="str">
        <x:v>StudioBinder</x:v>
      </x:c>
      <x:c r="K84" s="52" t="str">
        <x:v>Tool-independent</x:v>
      </x:c>
      <x:c r="L84" s="52" t="str">
        <x:v>Free lesson</x:v>
      </x:c>
      <x:c r="M84" s="79" t="str">
        <x:v>https://www.youtube.com/watch?v=7lUFluLOh-s</x:v>
      </x:c>
      <x:c r="N84" s="79" t="str">
        <x:v>https://www.youtube.com/watch?v=7lUFluLOh-s</x:v>
      </x:c>
      <x:c r="O84" s="83" t="str">
        <x:v>Creator description and chapter list reviewed</x:v>
      </x:c>
      <x:c r="P84" s="83" t="str">
        <x:v>Do not copy a frame-rate choice without matching the delivery and playback plan.</x:v>
      </x:c>
    </x:row>
    <x:row r="85" ht="64" customHeight="1">
      <x:c r="A85" s="56" t="str">
        <x:v>Intermediate</x:v>
      </x:c>
      <x:c r="B85" s="98"/>
      <x:c r="C85" s="98"/>
      <x:c r="D85" s="75" t="str">
        <x:v>White-balance consistency across a sequence</x:v>
      </x:c>
      <x:c r="E85" s="71" t="str">
        <x:f>IFERROR(HYPERLINK(M85,"Color Temperature Explained: White Balance
Fundamentals"),"Color Temperature Explained: White Balance
Fundamentals")</x:f>
        <x:v>Color Temperature Explained: White Balance
Fundamentals</x:v>
      </x:c>
      <x:c r="F85" s="52" t="str">
        <x:v>Whole focused lesson; no chapter markers verified</x:v>
      </x:c>
      <x:c r="G85" s="52" t="str">
        <x:v>Use the colour-temperature explanation to prevent unintended changes between shots. Record a comparison before shooting the full sequence.</x:v>
      </x:c>
      <x:c r="H85" s="52" t="str">
        <x:v>Targeted refresher</x:v>
      </x:c>
      <x:c r="I85" s="52" t="str">
        <x:v>All genres</x:v>
      </x:c>
      <x:c r="J85" s="52" t="str">
        <x:v>StudioBinder</x:v>
      </x:c>
      <x:c r="K85" s="52" t="str">
        <x:v>Tool-independent</x:v>
      </x:c>
      <x:c r="L85" s="52" t="str">
        <x:v>Free lesson</x:v>
      </x:c>
      <x:c r="M85" s="79" t="str">
        <x:v>https://www.youtube.com/watch?v=APLq7aPlDhk</x:v>
      </x:c>
      <x:c r="N85" s="79" t="str">
        <x:v>https://www.youtube.com/watch?v=APLq7aPlDhk</x:v>
      </x:c>
      <x:c r="O85" s="83" t="str">
        <x:v>Creator description and chapter list reviewed</x:v>
      </x:c>
      <x:c r="P85" s="83" t="str">
        <x:v>Practise the named skill; the video is not evidence of independent competence.</x:v>
      </x:c>
    </x:row>
    <x:row r="86" ht="64" customHeight="1">
      <x:c r="A86" s="56" t="str">
        <x:v>Intermediate</x:v>
      </x:c>
      <x:c r="B86" s="98"/>
      <x:c r="C86" s="98"/>
      <x:c r="D86" s="75" t="str">
        <x:v>Depth of field and purposeful focus changes</x:v>
      </x:c>
      <x:c r="E86" s="71" t="str">
        <x:f>IFERROR(HYPERLINK(M86,"Depth of Field Explained: Guide to Camera
Focus"),"Depth of Field Explained: Guide to Camera
Focus")</x:f>
        <x:v>Depth of Field Explained: Guide to Camera
Focus</x:v>
      </x:c>
      <x:c r="F86" s="52" t="str">
        <x:v>03:32 shallow focus; 07:42 rack focus</x:v>
      </x:c>
      <x:c r="G86" s="52" t="str">
        <x:v>Use the shallow/deep and rack-focus sections to select what viewers should attend to. Practise the focus transition before a real take.</x:v>
      </x:c>
      <x:c r="H86" s="52" t="str">
        <x:v>Core lesson</x:v>
      </x:c>
      <x:c r="I86" s="52" t="str">
        <x:v>All genres</x:v>
      </x:c>
      <x:c r="J86" s="52" t="str">
        <x:v>StudioBinder</x:v>
      </x:c>
      <x:c r="K86" s="52" t="str">
        <x:v>Tool-independent</x:v>
      </x:c>
      <x:c r="L86" s="52" t="str">
        <x:v>Free lesson</x:v>
      </x:c>
      <x:c r="M86" s="79" t="str">
        <x:v>https://www.youtube.com/watch?v=ZGNUqNFfD8M</x:v>
      </x:c>
      <x:c r="N86" s="79" t="str">
        <x:v>https://www.youtube.com/watch?v=ZGNUqNFfD8M</x:v>
      </x:c>
      <x:c r="O86" s="83" t="str">
        <x:v>Creator description and chapter list reviewed</x:v>
      </x:c>
      <x:c r="P86" s="83" t="str">
        <x:v>Focus aesthetics and depth of field, not an autofocus-menu or focus-peaking tutorial.</x:v>
      </x:c>
    </x:row>
    <x:row r="87" ht="64" customHeight="1">
      <x:c r="A87" s="56" t="str">
        <x:v>Intermediate</x:v>
      </x:c>
      <x:c r="B87" s="98" t="str">
        <x:v>I05
Coverage, continuity and motivated camera movement</x:v>
      </x:c>
      <x:c r="C87" s="98"/>
      <x:c r="D87" s="74" t="str">
        <x:v>Designing coverage that will support an edit</x:v>
      </x:c>
      <x:c r="E87" s="70" t="str">
        <x:f>IFERROR(HYPERLINK(M87,"A Director's Guide to Shot Listing"),"A Director's Guide to Shot Listing")</x:f>
        <x:v>A Director's Guide to Shot Listing</x:v>
      </x:c>
      <x:c r="F87" s="44" t="str">
        <x:v>Whole focused lesson; no chapter markers verified</x:v>
      </x:c>
      <x:c r="G87" s="44" t="str">
        <x:v>Develop a limited, prioritised shot list rather than shooting indiscriminately. Check that the essential action can be reconstructed.</x:v>
      </x:c>
      <x:c r="H87" s="44" t="str">
        <x:v>Core lesson</x:v>
      </x:c>
      <x:c r="I87" s="44" t="str">
        <x:v>All genres</x:v>
      </x:c>
      <x:c r="J87" s="44" t="str">
        <x:v>StudioBinder</x:v>
      </x:c>
      <x:c r="K87" s="44" t="str">
        <x:v>StudioBinder; principles transferable</x:v>
      </x:c>
      <x:c r="L87" s="44" t="str">
        <x:v>Free lesson</x:v>
      </x:c>
      <x:c r="M87" s="78" t="str">
        <x:v>https://www.studiobinder.com/tutorials/visualize/directors-guide-to-shot-list/</x:v>
      </x:c>
      <x:c r="N87" s="78" t="str">
        <x:v>https://www.studiobinder.com/tutorials/visualize/directors-guide-to-shot-list/</x:v>
      </x:c>
      <x:c r="O87" s="82" t="str">
        <x:v>Publisher's named video lessons reviewed</x:v>
      </x:c>
      <x:c r="P87" s="82" t="str">
        <x:v>Practise the named skill; the video is not evidence of independent competence.</x:v>
      </x:c>
    </x:row>
    <x:row r="88" ht="64" customHeight="1">
      <x:c r="A88" s="56" t="str">
        <x:v>Intermediate</x:v>
      </x:c>
      <x:c r="B88" s="98"/>
      <x:c r="C88" s="98"/>
      <x:c r="D88" s="74" t="str">
        <x:v>Screen direction and line crossing</x:v>
      </x:c>
      <x:c r="E88" s="70" t="str">
        <x:f>IFERROR(HYPERLINK(M88,"The 180 Degree Rule in Film (and How to
Break the Line)"),"The 180 Degree Rule in Film (and How to
Break the Line)")</x:f>
        <x:v>The 180 Degree Rule in Film (and How to
Break the Line)</x:v>
      </x:c>
      <x:c r="F88" s="44" t="str">
        <x:v>180-degree line, screen direction and deliberate line crossing</x:v>
      </x:c>
      <x:c r="G88" s="44" t="str">
        <x:v>Explains spatial continuity and deliberate exceptions. Plan a sequence where the viewer remains oriented across camera positions.</x:v>
      </x:c>
      <x:c r="H88" s="44" t="str">
        <x:v>Core lesson</x:v>
      </x:c>
      <x:c r="I88" s="44" t="str">
        <x:v>All genres</x:v>
      </x:c>
      <x:c r="J88" s="44" t="str">
        <x:v>StudioBinder</x:v>
      </x:c>
      <x:c r="K88" s="44" t="str">
        <x:v>Tool-independent</x:v>
      </x:c>
      <x:c r="L88" s="44" t="str">
        <x:v>Free lesson</x:v>
      </x:c>
      <x:c r="M88" s="78" t="str">
        <x:v>https://www.youtube.com/watch?v=iW0bKUfvH2c</x:v>
      </x:c>
      <x:c r="N88" s="78" t="str">
        <x:v>https://www.youtube.com/watch?v=iW0bKUfvH2c</x:v>
      </x:c>
      <x:c r="O88" s="82" t="str">
        <x:v>Creator description and correction reviewed</x:v>
      </x:c>
      <x:c r="P88" s="82" t="str">
        <x:v>Creator correction: the diagram reverses camera movement at 04:15. Explain the correction before using it.</x:v>
      </x:c>
    </x:row>
    <x:row r="89" ht="64" customHeight="1">
      <x:c r="A89" s="56" t="str">
        <x:v>Intermediate</x:v>
      </x:c>
      <x:c r="B89" s="98"/>
      <x:c r="C89" s="98"/>
      <x:c r="D89" s="74" t="str">
        <x:v>Motivated movement rather than decorative movement</x:v>
      </x:c>
      <x:c r="E89" s="70" t="str">
        <x:f>IFERROR(HYPERLINK(M89,"Ultimate Guide to Camera Movement"),"Ultimate Guide to Camera Movement")</x:f>
        <x:v>Ultimate Guide to Camera Movement</x:v>
      </x:c>
      <x:c r="F89" s="44" t="str">
        <x:v>Push-in and tracking examples; static-shot comparison</x:v>
      </x:c>
      <x:c r="G89" s="44" t="str">
        <x:v>Connects push-ins and tracking to information and emotion. Justify one moving shot and compare it with a static alternative.</x:v>
      </x:c>
      <x:c r="H89" s="44" t="str">
        <x:v>Core lesson</x:v>
      </x:c>
      <x:c r="I89" s="44" t="str">
        <x:v>All genres</x:v>
      </x:c>
      <x:c r="J89" s="44" t="str">
        <x:v>StudioBinder</x:v>
      </x:c>
      <x:c r="K89" s="44" t="str">
        <x:v>Tool-independent</x:v>
      </x:c>
      <x:c r="L89" s="44" t="str">
        <x:v>Free lesson</x:v>
      </x:c>
      <x:c r="M89" s="78" t="str">
        <x:v>https://www.youtube.com/watch?v=IiyBo-qLDeM</x:v>
      </x:c>
      <x:c r="N89" s="78" t="str">
        <x:v>https://www.studiobinder.com/blog/different-types-of-camera-movements-in-film/</x:v>
      </x:c>
      <x:c r="O89" s="82" t="str">
        <x:v>Publisher companion explanation reviewed</x:v>
      </x:c>
      <x:c r="P89" s="82" t="str">
        <x:v>Technique overview, not stabiliser setup or operation training.</x:v>
      </x:c>
    </x:row>
    <x:row r="90" ht="64" customHeight="1">
      <x:c r="A90" s="56" t="str">
        <x:v>Intermediate</x:v>
      </x:c>
      <x:c r="B90" s="98" t="str">
        <x:v>I06
Practical lighting and location control</x:v>
      </x:c>
      <x:c r="C90" s="98"/>
      <x:c r="D90" s="75" t="str">
        <x:v>Selecting a practical interview-lighting approach</x:v>
      </x:c>
      <x:c r="E90" s="71" t="str">
        <x:f>IFERROR(HYPERLINK(M90,"How to Light an Interview — 5 Quick Easy
Setups"),"How to Light an Interview — 5 Quick Easy
Setups")</x:f>
        <x:v>How to Light an Interview — 5 Quick Easy
Setups</x:v>
      </x:c>
      <x:c r="F90" s="52" t="str">
        <x:v>Five setups: book light, low key, Rembrandt, topper and silhouette</x:v>
      </x:c>
      <x:c r="G90" s="52" t="str">
        <x:v>Compares five distinct setups. Choose two relevant looks and document how each supports the intended interview mood.</x:v>
      </x:c>
      <x:c r="H90" s="52" t="str">
        <x:v>Core lesson</x:v>
      </x:c>
      <x:c r="I90" s="52" t="str">
        <x:v>All genres</x:v>
      </x:c>
      <x:c r="J90" s="52" t="str">
        <x:v>Aputure</x:v>
      </x:c>
      <x:c r="K90" s="52" t="str">
        <x:v>Tool-independent</x:v>
      </x:c>
      <x:c r="L90" s="52" t="str">
        <x:v>Free lesson</x:v>
      </x:c>
      <x:c r="M90" s="79" t="str">
        <x:v>https://www.youtube.com/watch?v=1HwgkOKP_VU</x:v>
      </x:c>
      <x:c r="N90" s="79" t="str">
        <x:v>https://www.youtube.com/watch?v=1HwgkOKP_VU</x:v>
      </x:c>
      <x:c r="O90" s="83" t="str">
        <x:v>Creator description and published topics reviewed</x:v>
      </x:c>
      <x:c r="P90" s="83" t="str">
        <x:v>Practise the named skill; the video is not evidence of independent competence.</x:v>
      </x:c>
    </x:row>
    <x:row r="91" ht="64" customHeight="1">
      <x:c r="A91" s="56" t="str">
        <x:v>Intermediate</x:v>
      </x:c>
      <x:c r="B91" s="98"/>
      <x:c r="C91" s="98"/>
      <x:c r="D91" s="75" t="str">
        <x:v>Location depth, subject placement and shaped light</x:v>
      </x:c>
      <x:c r="E91" s="71" t="str">
        <x:f>IFERROR(HYPERLINK(M91,"Lighting Interviews | Commercial
Cinematography Techniques"),"Lighting Interviews | Commercial
Cinematography Techniques")</x:f>
        <x:v>Lighting Interviews | Commercial
Cinematography Techniques</x:v>
      </x:c>
      <x:c r="F91" s="52" t="str">
        <x:v>Background depth, subject position, shaped light; low/high-budget comparison</x:v>
      </x:c>
      <x:c r="G91" s="52" t="str">
        <x:v>The commercial interview demonstration connects location choices with lighting. Build an achievable setup rather than copying the equipment list.</x:v>
      </x:c>
      <x:c r="H91" s="52" t="str">
        <x:v>Core lesson</x:v>
      </x:c>
      <x:c r="I91" s="52" t="str">
        <x:v>All genres</x:v>
      </x:c>
      <x:c r="J91" s="52" t="str">
        <x:v>Aputure</x:v>
      </x:c>
      <x:c r="K91" s="52" t="str">
        <x:v>Tool-independent</x:v>
      </x:c>
      <x:c r="L91" s="52" t="str">
        <x:v>Free lesson</x:v>
      </x:c>
      <x:c r="M91" s="79" t="str">
        <x:v>https://www.youtube.com/watch?v=5pQYYiFiHdg</x:v>
      </x:c>
      <x:c r="N91" s="79" t="str">
        <x:v>https://www.youtube.com/watch?v=5pQYYiFiHdg</x:v>
      </x:c>
      <x:c r="O91" s="83" t="str">
        <x:v>Detailed creator demonstration outline reviewed</x:v>
      </x:c>
      <x:c r="P91" s="83" t="str">
        <x:v>Practise the named skill; the video is not evidence of independent competence.</x:v>
      </x:c>
    </x:row>
    <x:row r="92" ht="64" customHeight="1">
      <x:c r="A92" s="56" t="str">
        <x:v>Intermediate</x:v>
      </x:c>
      <x:c r="B92" s="98"/>
      <x:c r="C92" s="98"/>
      <x:c r="D92" s="75" t="str">
        <x:v>Using negative fill to control contrast</x:v>
      </x:c>
      <x:c r="E92" s="71" t="str">
        <x:f>IFERROR(HYPERLINK(M92,"The One Dramatic Lighting Technique You
Need to Know"),"The One Dramatic Lighting Technique You
Need to Know")</x:f>
        <x:v>The One Dramatic Lighting Technique You
Need to Know</x:v>
      </x:c>
      <x:c r="F92" s="52" t="str">
        <x:v>Whole focused lesson; no chapter markers verified</x:v>
      </x:c>
      <x:c r="G92" s="52" t="str">
        <x:v>Shows a specific way to shape the shadow side. Add or remove fill and document the visible difference in the interview test.</x:v>
      </x:c>
      <x:c r="H92" s="52" t="str">
        <x:v>Core lesson</x:v>
      </x:c>
      <x:c r="I92" s="52" t="str">
        <x:v>All genres</x:v>
      </x:c>
      <x:c r="J92" s="52" t="str">
        <x:v>Aputure</x:v>
      </x:c>
      <x:c r="K92" s="52" t="str">
        <x:v>Tool-independent</x:v>
      </x:c>
      <x:c r="L92" s="52" t="str">
        <x:v>Free lesson</x:v>
      </x:c>
      <x:c r="M92" s="79" t="str">
        <x:v>https://www.youtube.com/watch?v=zuwnNSgb3p8</x:v>
      </x:c>
      <x:c r="N92" s="79" t="str">
        <x:v>https://www.youtube.com/watch?v=zuwnNSgb3p8</x:v>
      </x:c>
      <x:c r="O92" s="83" t="str">
        <x:v>Creator description and published topics reviewed</x:v>
      </x:c>
      <x:c r="P92" s="83" t="str">
        <x:v>Practise the named skill; the video is not evidence of independent competence.</x:v>
      </x:c>
    </x:row>
    <x:row r="93" ht="64" customHeight="1">
      <x:c r="A93" s="56" t="str">
        <x:v>Intermediate</x:v>
      </x:c>
      <x:c r="B93" s="98" t="str">
        <x:v>I07
Location sound, interviewing and directing people</x:v>
      </x:c>
      <x:c r="C93" s="98"/>
      <x:c r="D93" s="74" t="str">
        <x:v>Research-led questions, listening and follow-ups</x:v>
      </x:c>
      <x:c r="E93" s="70" t="str">
        <x:f>IFERROR(HYPERLINK(M93,"How to Ask Great Documentary Interview
Questions"),"How to Ask Great Documentary Interview
Questions")</x:f>
        <x:v>How to Ask Great Documentary Interview
Questions</x:v>
      </x:c>
      <x:c r="F93" s="44" t="str">
        <x:v>Interview purpose, open questions, listening and follow-ups</x:v>
      </x:c>
      <x:c r="G93" s="44" t="str">
        <x:v>Teaches how to obtain meaningful, complete interview material. Prepare questions, then use the subject's answers to guide follow-ups.</x:v>
      </x:c>
      <x:c r="H93" s="44" t="str">
        <x:v>Core lesson</x:v>
      </x:c>
      <x:c r="I93" s="44" t="str">
        <x:v>All genres</x:v>
      </x:c>
      <x:c r="J93" s="44" t="str">
        <x:v>Videomaker</x:v>
      </x:c>
      <x:c r="K93" s="44" t="str">
        <x:v>Tool-independent</x:v>
      </x:c>
      <x:c r="L93" s="44" t="str">
        <x:v>Free lesson</x:v>
      </x:c>
      <x:c r="M93" s="78" t="str">
        <x:v>https://www.youtube.com/watch?v=qddEATeRpcI</x:v>
      </x:c>
      <x:c r="N93" s="78" t="str">
        <x:v>https://www.videomaker.com/article/c06/19014-how-to-ask-great-documentary-interview-questions/?amp=1</x:v>
      </x:c>
      <x:c r="O93" s="82" t="str">
        <x:v>Publisher's accompanying teaching article reviewed</x:v>
      </x:c>
      <x:c r="P93" s="82" t="str">
        <x:v>Practise the named skill; the video is not evidence of independent competence.</x:v>
      </x:c>
    </x:row>
    <x:row r="94" ht="72" customHeight="1">
      <x:c r="A94" s="56" t="str">
        <x:v>Intermediate</x:v>
      </x:c>
      <x:c r="B94" s="98"/>
      <x:c r="C94" s="98"/>
      <x:c r="D94" s="74" t="str">
        <x:v>Recording sound in interior and exterior conditions</x:v>
      </x:c>
      <x:c r="E94" s="70" t="str">
        <x:f>IFERROR(HYPERLINK(M94,"Recording Sound for Film — How to Get
Pristine Audio"),"Recording Sound for Film — How to Get
Pristine Audio")</x:f>
        <x:v>Recording Sound for Film — How to Get
Pristine Audio</x:v>
      </x:c>
      <x:c r="F94" s="44" t="str">
        <x:v>On-set sound: mic positioning, room noise and monitoring</x:v>
      </x:c>
      <x:c r="G94" s="44" t="str">
        <x:v>The location-sound lesson addresses recording problems before postproduction. Check the space and microphone placement before interviewing.</x:v>
      </x:c>
      <x:c r="H94" s="44" t="str">
        <x:v>Core lesson</x:v>
      </x:c>
      <x:c r="I94" s="44" t="str">
        <x:v>All genres</x:v>
      </x:c>
      <x:c r="J94" s="44" t="str">
        <x:v>StudioBinder</x:v>
      </x:c>
      <x:c r="K94" s="44" t="str">
        <x:v>Tool-independent</x:v>
      </x:c>
      <x:c r="L94" s="44" t="str">
        <x:v>Free lesson</x:v>
      </x:c>
      <x:c r="M94" s="78" t="str">
        <x:v>https://www.youtube.com/watch?v=6fSlQ1tRMrE</x:v>
      </x:c>
      <x:c r="N94" s="78" t="str">
        <x:v>https://www.studiobinder.com/blog/sound-recording/</x:v>
      </x:c>
      <x:c r="O94" s="82" t="str">
        <x:v>Publisher's accompanying sound-recording guide reviewed</x:v>
      </x:c>
      <x:c r="P94" s="82" t="str">
        <x:v>Practise the named skill; the video is not evidence of independent competence.</x:v>
      </x:c>
    </x:row>
    <x:row r="95" ht="64" customHeight="1">
      <x:c r="A95" s="56" t="str">
        <x:v>Intermediate</x:v>
      </x:c>
      <x:c r="B95" s="98"/>
      <x:c r="C95" s="98"/>
      <x:c r="D95" s="74" t="str">
        <x:v>Reducing lavalier clothing interference</x:v>
      </x:c>
      <x:c r="E95" s="70" t="str">
        <x:f>IFERROR(HYPERLINK(M95,"How To Hide A Lav Microphone"),"How To Hide A Lav Microphone")</x:f>
        <x:v>How To Hide A Lav Microphone</x:v>
      </x:c>
      <x:c r="F95" s="44" t="str">
        <x:v>First embedded video: How To Hide A Lav Microphone (not accessory shopping videos)</x:v>
      </x:c>
      <x:c r="G95" s="44" t="str">
        <x:v>The concealment demonstration addresses a specific production failure. Test movement and clothing noise and revise placement when needed.</x:v>
      </x:c>
      <x:c r="H95" s="44" t="str">
        <x:v>Core lesson</x:v>
      </x:c>
      <x:c r="I95" s="44" t="str">
        <x:v>All genres</x:v>
      </x:c>
      <x:c r="J95" s="44" t="str">
        <x:v>Deity Microphones</x:v>
      </x:c>
      <x:c r="K95" s="44" t="str">
        <x:v>Tool-independent</x:v>
      </x:c>
      <x:c r="L95" s="44" t="str">
        <x:v>Free lesson</x:v>
      </x:c>
      <x:c r="M95" s="78" t="str">
        <x:v>https://deitymic.com/blog/how-to-hide-a-lavalier-microphone/</x:v>
      </x:c>
      <x:c r="N95" s="78" t="str">
        <x:v>https://deitymic.com/blog/how-to-hide-a-lavalier-microphone/</x:v>
      </x:c>
      <x:c r="O95" s="82" t="str">
        <x:v>Creator lesson page reviewed</x:v>
      </x:c>
      <x:c r="P95" s="82" t="str">
        <x:v>Practise the named skill; the video is not evidence of independent competence.</x:v>
      </x:c>
    </x:row>
    <x:row r="96" ht="64" customHeight="1">
      <x:c r="A96" s="56" t="str">
        <x:v>Intermediate</x:v>
      </x:c>
      <x:c r="B96" s="98"/>
      <x:c r="C96" s="98"/>
      <x:c r="D96" s="74" t="str">
        <x:v>Obtaining informed consent for the interview</x:v>
      </x:c>
      <x:c r="E96" s="70" t="str">
        <x:f>IFERROR(HYPERLINK(M96,"Interviewing Techniques — Obtaining
Informed Consent"),"Interviewing Techniques — Obtaining
Informed Consent")</x:f>
        <x:v>Interviewing Techniques — Obtaining
Informed Consent</x:v>
      </x:c>
      <x:c r="F96" s="44" t="str">
        <x:v>Informed consent demonstration</x:v>
      </x:c>
      <x:c r="G96" s="44" t="str">
        <x:v>Use the demonstrated consent process before recording and publication. Confirm what the participant understands about the intended use.</x:v>
      </x:c>
      <x:c r="H96" s="44" t="str">
        <x:v>Supporting lesson</x:v>
      </x:c>
      <x:c r="I96" s="44" t="str">
        <x:v>All genres</x:v>
      </x:c>
      <x:c r="J96" s="44" t="str">
        <x:v>WITNESS</x:v>
      </x:c>
      <x:c r="K96" s="44" t="str">
        <x:v>Tool-independent</x:v>
      </x:c>
      <x:c r="L96" s="44" t="str">
        <x:v>Free lesson</x:v>
      </x:c>
      <x:c r="M96" s="78" t="str">
        <x:v>https://www.youtube.com/watch?v=VWAHkHLpZ1Q</x:v>
      </x:c>
      <x:c r="N96" s="78" t="str">
        <x:v>https://library.witness.org/product/interviewing-techniques-obtaining-informed-consent/</x:v>
      </x:c>
      <x:c r="O96" s="82" t="str">
        <x:v>Publisher video page and accompanying instructions reviewed</x:v>
      </x:c>
      <x:c r="P96" s="82" t="str">
        <x:v>Human-rights context. Ethical guidance, not a substitute for local legal advice or a full release agreement.</x:v>
      </x:c>
    </x:row>
    <x:row r="97" ht="64" customHeight="1">
      <x:c r="A97" s="56" t="str">
        <x:v>Intermediate</x:v>
      </x:c>
      <x:c r="B97" s="98" t="str">
        <x:v>I08
Media organisation, synchronisation and edit preparation</x:v>
      </x:c>
      <x:c r="C97" s="98"/>
      <x:c r="D97" s="75" t="str">
        <x:v>Media import, project setup and relinking</x:v>
      </x:c>
      <x:c r="E97" s="71" t="str">
        <x:f>IFERROR(HYPERLINK(M97,"Project setup &amp; media import"),"Project setup &amp; media import")</x:f>
        <x:v>Project setup &amp; media import</x:v>
      </x:c>
      <x:c r="F97" s="52" t="str">
        <x:v>Project setup/import and relinking portions; no chapter timing verified</x:v>
      </x:c>
      <x:c r="G97" s="52" t="str">
        <x:v>Supports organising the actual editing project and reconnecting missing media. Test the handover on another folder location.</x:v>
      </x:c>
      <x:c r="H97" s="52" t="str">
        <x:v>Core lesson</x:v>
      </x:c>
      <x:c r="I97" s="52" t="str">
        <x:v>All genres</x:v>
      </x:c>
      <x:c r="J97" s="52" t="str">
        <x:v>Adobe / Karl Soule</x:v>
      </x:c>
      <x:c r="K97" s="52" t="str">
        <x:v>Premiere Pro</x:v>
      </x:c>
      <x:c r="L97" s="52" t="str">
        <x:v>Free lesson</x:v>
      </x:c>
      <x:c r="M97" s="79" t="str">
        <x:v>https://adobevideotraining.com/video/project-setup-media-import/</x:v>
      </x:c>
      <x:c r="N97" s="79" t="str">
        <x:v>https://adobevideotraining.com/video/project-setup-media-import/</x:v>
      </x:c>
      <x:c r="O97" s="83" t="str">
        <x:v>Publisher video description/syllabus reviewed; not full playback</x:v>
      </x:c>
      <x:c r="P97" s="83" t="str">
        <x:v>Use the installed-version controls. The publisher synopsis was reviewed; full playback was not audited.</x:v>
      </x:c>
    </x:row>
    <x:row r="98" ht="64" customHeight="1">
      <x:c r="A98" s="56" t="str">
        <x:v>Intermediate</x:v>
      </x:c>
      <x:c r="B98" s="98"/>
      <x:c r="C98" s="98"/>
      <x:c r="D98" s="75" t="str">
        <x:v>Creating lightweight editing proxies</x:v>
      </x:c>
      <x:c r="E98" s="71" t="str">
        <x:f>IFERROR(HYPERLINK(M98,"Create proxies in Premiere"),"Create proxies in Premiere")</x:f>
        <x:v>Create proxies in Premiere</x:v>
      </x:c>
      <x:c r="F98" s="52" t="str">
        <x:v>Embedded proxy-creation demonstration</x:v>
      </x:c>
      <x:c r="G98" s="52" t="str">
        <x:v>Demonstrates proxy creation for difficult source footage. Keep the original-media relationship intact and verify the proxy toggle.</x:v>
      </x:c>
      <x:c r="H98" s="52" t="str">
        <x:v>Core lesson</x:v>
      </x:c>
      <x:c r="I98" s="52" t="str">
        <x:v>All genres</x:v>
      </x:c>
      <x:c r="J98" s="52" t="str">
        <x:v>Adobe</x:v>
      </x:c>
      <x:c r="K98" s="52" t="str">
        <x:v>Premiere / Media Encoder</x:v>
      </x:c>
      <x:c r="L98" s="52" t="str">
        <x:v>Free lesson</x:v>
      </x:c>
      <x:c r="M98" s="79" t="str">
        <x:v>https://helpx.adobe.com/au/premiere/desktop/organize-media/ingest-proxy-workflow/create-proxies.html</x:v>
      </x:c>
      <x:c r="N98" s="79" t="str">
        <x:v>https://helpx.adobe.com/au/premiere/desktop/organize-media/ingest-proxy-workflow/create-proxies.html</x:v>
      </x:c>
      <x:c r="O98" s="83" t="str">
        <x:v>Publisher instructions and embedded video identified</x:v>
      </x:c>
      <x:c r="P98" s="83" t="str">
        <x:v>Keep original media. Proxy files are editing substitutes, not archival masters or backups.</x:v>
      </x:c>
    </x:row>
    <x:row r="99" ht="64" customHeight="1">
      <x:c r="A99" s="56" t="str">
        <x:v>Intermediate</x:v>
      </x:c>
      <x:c r="B99" s="98"/>
      <x:c r="C99" s="98"/>
      <x:c r="D99" s="75" t="str">
        <x:v>Synchronising separately recorded interview audio</x:v>
      </x:c>
      <x:c r="E99" s="71" t="str">
        <x:f>IFERROR(HYPERLINK(M99,"Mix audio like a pro"),"Mix audio like a pro")</x:f>
        <x:v>Mix audio like a pro</x:v>
      </x:c>
      <x:c r="F99" s="52" t="str">
        <x:v>00:41 separate-audio synchronisation</x:v>
      </x:c>
      <x:c r="G99" s="52" t="str">
        <x:v>The waveform-sync demonstration addresses a separate sound recording. Confirm lip sync on the resulting clip before editing.</x:v>
      </x:c>
      <x:c r="H99" s="52" t="str">
        <x:v>Supporting lesson</x:v>
      </x:c>
      <x:c r="I99" s="52" t="str">
        <x:v>All genres</x:v>
      </x:c>
      <x:c r="J99" s="52" t="str">
        <x:v>Adobe</x:v>
      </x:c>
      <x:c r="K99" s="52" t="str">
        <x:v>Premiere Pro</x:v>
      </x:c>
      <x:c r="L99" s="52" t="str">
        <x:v>Free lesson</x:v>
      </x:c>
      <x:c r="M99" s="79" t="str">
        <x:v>https://www.adobe.com/learn/premiere-pro/web/professional-audio-mix</x:v>
      </x:c>
      <x:c r="N99" s="79" t="str">
        <x:v>https://www.adobe.com/learn/premiere-pro/web/professional-audio-mix</x:v>
      </x:c>
      <x:c r="O99" s="83" t="str">
        <x:v>Publisher video transcript / tutorial page reviewed</x:v>
      </x:c>
      <x:c r="P99" s="83" t="str">
        <x:v>Automation requires listening checks; merge-clips demo is not a universal multicam workflow.</x:v>
      </x:c>
    </x:row>
    <x:row r="100" ht="64" customHeight="1">
      <x:c r="A100" s="56" t="str">
        <x:v>Intermediate</x:v>
      </x:c>
      <x:c r="B100" s="98"/>
      <x:c r="C100" s="98"/>
      <x:c r="D100" s="75" t="str">
        <x:v>Using transcripts to prepare interview selects</x:v>
      </x:c>
      <x:c r="E100" s="71" t="str">
        <x:f>IFERROR(HYPERLINK(M100,"Transcription, Translation and Text-based
Editing"),"Transcription, Translation and Text-based
Editing")</x:f>
        <x:v>Transcription, Translation and Text-based
Editing</x:v>
      </x:c>
      <x:c r="F100" s="52" t="str">
        <x:v>Transcription and text-based selects; omit translation for this task</x:v>
      </x:c>
      <x:c r="G100" s="52" t="str">
        <x:v>Use the text-based editing portion to locate usable answers. Listen back to selections and preserve meaning rather than trusting text alone.</x:v>
      </x:c>
      <x:c r="H100" s="52" t="str">
        <x:v>Supporting lesson</x:v>
      </x:c>
      <x:c r="I100" s="52" t="str">
        <x:v>All genres</x:v>
      </x:c>
      <x:c r="J100" s="52" t="str">
        <x:v>Adobe / John Knowles</x:v>
      </x:c>
      <x:c r="K100" s="52" t="str">
        <x:v>Premiere Pro</x:v>
      </x:c>
      <x:c r="L100" s="52" t="str">
        <x:v>Free lesson</x:v>
      </x:c>
      <x:c r="M100" s="79" t="str">
        <x:v>https://adobevideotraining.com/video/transcription-translation-and-text-based-editing/</x:v>
      </x:c>
      <x:c r="N100" s="79" t="str">
        <x:v>https://adobevideotraining.com/video/transcription-translation-and-text-based-editing/</x:v>
      </x:c>
      <x:c r="O100" s="83" t="str">
        <x:v>Publisher video description/syllabus reviewed; not full playback</x:v>
      </x:c>
      <x:c r="P100" s="83" t="str">
        <x:v>Use the installed-version controls. The publisher synopsis was reviewed; full playback was not audited.</x:v>
      </x:c>
    </x:row>
    <x:row r="101" ht="96" customHeight="1">
      <x:c r="A101" s="112" t="str">
        <x:v>Intermediate</x:v>
      </x:c>
      <x:c r="B101" s="113"/>
      <x:c r="C101" s="113"/>
      <x:c r="D101" s="107" t="str">
        <x:v>Finding useful footage through AI-assisted search</x:v>
      </x:c>
      <x:c r="E101" s="108" t="str">
        <x:f>IFERROR(HYPERLINK(M101,"Media Intelligence &amp; New Search Panel"),"Media Intelligence &amp; New Search Panel")</x:f>
        <x:v>Media Intelligence &amp; New Search Panel</x:v>
      </x:c>
      <x:c r="F101" s="109" t="str">
        <x:v>Whole focused tutorial / case study; chapter timestamps not verified</x:v>
      </x:c>
      <x:c r="G101" s="109" t="str">
        <x:v>Search an existing footage collection, inspect the results and build selects for the edit.</x:v>
      </x:c>
      <x:c r="H101" s="109" t="str">
        <x:v>AI hybrid lesson (I-AI04)</x:v>
      </x:c>
      <x:c r="I101" s="109" t="str">
        <x:v>All genres</x:v>
      </x:c>
      <x:c r="J101" s="109" t="str">
        <x:v>Adobe Video</x:v>
      </x:c>
      <x:c r="K101" s="109" t="str">
        <x:v>Adobe Premiere Pro</x:v>
      </x:c>
      <x:c r="L101" s="109" t="str">
        <x:v>Free YouTube video; tool access may be paid</x:v>
      </x:c>
      <x:c r="M101" s="110" t="str">
        <x:v>https://www.youtube.com/watch?v=HkOrcHlGY7Q</x:v>
      </x:c>
      <x:c r="N101" s="110" t="str">
        <x:v>https://www.youtube.com/watch?v=HkOrcHlGY7Q</x:v>
      </x:c>
      <x:c r="O101" s="111" t="str">
        <x:v>Description / publisher references reviewed; learner comments and counts unverified</x:v>
      </x:c>
      <x:c r="P101" s="111" t="str">
        <x:v>Earlier beta interface. Verify search results against the actual footage.</x:v>
      </x:c>
    </x:row>
    <x:row r="102" ht="64" customHeight="1">
      <x:c r="A102" s="56" t="str">
        <x:v>Intermediate</x:v>
      </x:c>
      <x:c r="B102" s="98" t="str">
        <x:v>I09
Story editing, pacing and editorial judgement</x:v>
      </x:c>
      <x:c r="C102" s="98"/>
      <x:c r="D102" s="74" t="str">
        <x:v>Judging cut timing and performance</x:v>
      </x:c>
      <x:c r="E102" s="70" t="str">
        <x:f>IFERROR(HYPERLINK(M102,"How Does an Editor Think and Feel?"),"How Does an Editor Think and Feel?")</x:f>
        <x:v>How Does an Editor Think and Feel?</x:v>
      </x:c>
      <x:c r="F102" s="44" t="str">
        <x:v>Whole focused lesson; no chapter markers verified</x:v>
      </x:c>
      <x:c r="G102" s="44" t="str">
        <x:v>Explains the editor's decision-making rather than software controls. Compare cut points and justify which best serves the subject.</x:v>
      </x:c>
      <x:c r="H102" s="44" t="str">
        <x:v>Core lesson</x:v>
      </x:c>
      <x:c r="I102" s="44" t="str">
        <x:v>All genres</x:v>
      </x:c>
      <x:c r="J102" s="44" t="str">
        <x:v>Every Frame a Painting</x:v>
      </x:c>
      <x:c r="K102" s="44" t="str">
        <x:v>Tool-independent</x:v>
      </x:c>
      <x:c r="L102" s="44" t="str">
        <x:v>Free lesson</x:v>
      </x:c>
      <x:c r="M102" s="78" t="str">
        <x:v>https://www.youtube.com/watch?v=3Q3eITC01Fg</x:v>
      </x:c>
      <x:c r="N102" s="78" t="str">
        <x:v>https://www.patreon.com/posts/how-does-editor-5446631</x:v>
      </x:c>
      <x:c r="O102" s="82" t="str">
        <x:v>Creator's lesson introduction reviewed</x:v>
      </x:c>
      <x:c r="P102" s="82" t="str">
        <x:v>Practise the named skill; the video is not evidence of independent competence.</x:v>
      </x:c>
    </x:row>
    <x:row r="103" ht="64" customHeight="1">
      <x:c r="A103" s="56" t="str">
        <x:v>Intermediate</x:v>
      </x:c>
      <x:c r="B103" s="98"/>
      <x:c r="C103" s="98"/>
      <x:c r="D103" s="74" t="str">
        <x:v>Varying pacing within a scene</x:v>
      </x:c>
      <x:c r="E103" s="70" t="str">
        <x:f>IFERROR(HYPERLINK(M103,"Pacing in Film Editing — Techniques Every
High-End Editor Must Know"),"Pacing in Film Editing — Techniques Every
High-End Editor Must Know")</x:f>
        <x:v>Pacing in Film Editing — Techniques Every
High-End Editor Must Know</x:v>
      </x:c>
      <x:c r="F103" s="44" t="str">
        <x:v>02:09 tempo variation; 04:00 purpose; 09:16 pacing factors; 11:46 exercise</x:v>
      </x:c>
      <x:c r="G103" s="44" t="str">
        <x:v>The worked pacing explanation supports deliberate rhythm changes. Revise a section that feels monotonous or rushed.</x:v>
      </x:c>
      <x:c r="H103" s="44" t="str">
        <x:v>Core lesson</x:v>
      </x:c>
      <x:c r="I103" s="44" t="str">
        <x:v>All genres</x:v>
      </x:c>
      <x:c r="J103" s="44" t="str">
        <x:v>Inside The Edit</x:v>
      </x:c>
      <x:c r="K103" s="44" t="str">
        <x:v>Tool-independent</x:v>
      </x:c>
      <x:c r="L103" s="44" t="str">
        <x:v>Free lesson</x:v>
      </x:c>
      <x:c r="M103" s="78" t="str">
        <x:v>https://www.youtube.com/watch?v=CdyTIng0M8Q</x:v>
      </x:c>
      <x:c r="N103" s="78" t="str">
        <x:v>https://www.youtube.com/watch?v=CdyTIng0M8Q</x:v>
      </x:c>
      <x:c r="O103" s="82" t="str">
        <x:v>Creator description and chapter list reviewed</x:v>
      </x:c>
      <x:c r="P103" s="82" t="str">
        <x:v>Practise the named skill; the video is not evidence of independent competence.</x:v>
      </x:c>
    </x:row>
    <x:row r="104" ht="64" customHeight="1">
      <x:c r="A104" s="56" t="str">
        <x:v>Intermediate</x:v>
      </x:c>
      <x:c r="B104" s="98"/>
      <x:c r="C104" s="98"/>
      <x:c r="D104" s="74" t="str">
        <x:v>Testing alternative structures and tone</x:v>
      </x:c>
      <x:c r="E104" s="70" t="str">
        <x:f>IFERROR(HYPERLINK(M104,"How Editors Cut the Same Scene in 2
Completely Different Ways"),"How Editors Cut the Same Scene in 2
Completely Different Ways")</x:f>
        <x:v>How Editors Cut the Same Scene in 2
Completely Different Ways</x:v>
      </x:c>
      <x:c r="F104" s="44" t="str">
        <x:v>02:18/04:01 cuts; 06:47 structure; 13:42 tone</x:v>
      </x:c>
      <x:c r="G104" s="44" t="str">
        <x:v>Uses the same material in contrasting edits. Apply that method to the two-opening assignment and explain the resulting difference.</x:v>
      </x:c>
      <x:c r="H104" s="44" t="str">
        <x:v>Core lesson</x:v>
      </x:c>
      <x:c r="I104" s="44" t="str">
        <x:v>All genres</x:v>
      </x:c>
      <x:c r="J104" s="44" t="str">
        <x:v>Inside The Edit</x:v>
      </x:c>
      <x:c r="K104" s="44" t="str">
        <x:v>Tool-independent</x:v>
      </x:c>
      <x:c r="L104" s="44" t="str">
        <x:v>Free lesson</x:v>
      </x:c>
      <x:c r="M104" s="78" t="str">
        <x:v>https://www.youtube.com/watch?v=KAO0n3C0kAg</x:v>
      </x:c>
      <x:c r="N104" s="78" t="str">
        <x:v>https://www.youtube.com/watch?v=KAO0n3C0kAg</x:v>
      </x:c>
      <x:c r="O104" s="82" t="str">
        <x:v>Creator description and chapter list reviewed</x:v>
      </x:c>
      <x:c r="P104" s="82" t="str">
        <x:v>Practise the named skill; the video is not evidence of independent competence.</x:v>
      </x:c>
    </x:row>
    <x:row r="105" ht="96" customHeight="1">
      <x:c r="A105" s="112" t="str">
        <x:v>Intermediate</x:v>
      </x:c>
      <x:c r="B105" s="113"/>
      <x:c r="C105" s="113"/>
      <x:c r="D105" s="107" t="str">
        <x:v>Reviewing an AI-assisted multicamera first pass</x:v>
      </x:c>
      <x:c r="E105" s="108" t="str">
        <x:f>IFERROR(HYPERLINK(M105,"Smart Switch Multicam Editing"),"Smart Switch Multicam Editing")</x:f>
        <x:v>Smart Switch Multicam Editing</x:v>
      </x:c>
      <x:c r="F105" s="109" t="str">
        <x:v>Whole focused tutorial / case study; chapter timestamps not verified</x:v>
      </x:c>
      <x:c r="G105" s="109" t="str">
        <x:v>Set up multicamera material, generate angle switches, then refine reactions, shot duration and editorial timing.</x:v>
      </x:c>
      <x:c r="H105" s="109" t="str">
        <x:v>AI hybrid lesson (I-AI05)</x:v>
      </x:c>
      <x:c r="I105" s="109" t="str">
        <x:v>All genres</x:v>
      </x:c>
      <x:c r="J105" s="109" t="str">
        <x:v>Jason Yadlovski</x:v>
      </x:c>
      <x:c r="K105" s="109" t="str">
        <x:v>DaVinci Resolve 20</x:v>
      </x:c>
      <x:c r="L105" s="109" t="str">
        <x:v>Free YouTube video; tool access may be paid</x:v>
      </x:c>
      <x:c r="M105" s="110" t="str">
        <x:v>https://www.youtube.com/watch?v=Wko-K0bIWZ8</x:v>
      </x:c>
      <x:c r="N105" s="110" t="str">
        <x:v>https://www.youtube.com/watch?v=Wko-K0bIWZ8</x:v>
      </x:c>
      <x:c r="O105" s="111" t="str">
        <x:v>Description / publisher references reviewed; learner comments and counts unverified</x:v>
      </x:c>
      <x:c r="P105" s="111" t="str">
        <x:v>Check software edition requirements. AI angle choices require editorial review.</x:v>
      </x:c>
    </x:row>
    <x:row r="106" ht="64" customHeight="1">
      <x:c r="A106" s="56" t="str">
        <x:v>Intermediate</x:v>
      </x:c>
      <x:c r="B106" s="98" t="str">
        <x:v>I10
Dialogue editing, sound design and mixing</x:v>
      </x:c>
      <x:c r="C106" s="98"/>
      <x:c r="D106" s="75" t="str">
        <x:v>Speech cleanup, level matching and music ducking</x:v>
      </x:c>
      <x:c r="E106" s="71" t="str">
        <x:f>IFERROR(HYPERLINK(M106,"Mix audio like a pro"),"Mix audio like a pro")</x:f>
        <x:v>Mix audio like a pro</x:v>
      </x:c>
      <x:c r="F106" s="52" t="str">
        <x:v>01:10 level match; 01:47 speech cleanup; 02:53 ducking</x:v>
      </x:c>
      <x:c r="G106" s="52" t="str">
        <x:v>Direct demonstrations address common dialogue-and-music problems. Compare the processed version with the original and listen for unwanted damage.</x:v>
      </x:c>
      <x:c r="H106" s="52" t="str">
        <x:v>Core lesson</x:v>
      </x:c>
      <x:c r="I106" s="52" t="str">
        <x:v>All genres</x:v>
      </x:c>
      <x:c r="J106" s="52" t="str">
        <x:v>Adobe</x:v>
      </x:c>
      <x:c r="K106" s="52" t="str">
        <x:v>Premiere Pro</x:v>
      </x:c>
      <x:c r="L106" s="52" t="str">
        <x:v>Free lesson</x:v>
      </x:c>
      <x:c r="M106" s="79" t="str">
        <x:v>https://www.adobe.com/learn/premiere-pro/web/professional-audio-mix</x:v>
      </x:c>
      <x:c r="N106" s="79" t="str">
        <x:v>https://www.adobe.com/learn/premiere-pro/web/professional-audio-mix</x:v>
      </x:c>
      <x:c r="O106" s="83" t="str">
        <x:v>Publisher video transcript / tutorial page reviewed</x:v>
      </x:c>
      <x:c r="P106" s="83" t="str">
        <x:v>Automation requires listening checks; merge-clips demo is not a universal multicam workflow.</x:v>
      </x:c>
    </x:row>
    <x:row r="107" ht="64" customHeight="1">
      <x:c r="A107" s="56" t="str">
        <x:v>Intermediate</x:v>
      </x:c>
      <x:c r="B107" s="98"/>
      <x:c r="C107" s="98"/>
      <x:c r="D107" s="75" t="str">
        <x:v>Mixing music underneath dialogue</x:v>
      </x:c>
      <x:c r="E107" s="71" t="str">
        <x:f>IFERROR(HYPERLINK(M107,"Mix music behind dialogue — Sound for Video
Session"),"Mix music behind dialogue — Sound for Video
Session")</x:f>
        <x:v>Mix music behind dialogue — Sound for Video
Session</x:v>
      </x:c>
      <x:c r="F107" s="52" t="str">
        <x:v>Music-under-dialogue demonstration; skip unrelated Q&amp;A</x:v>
      </x:c>
      <x:c r="G107" s="52" t="str">
        <x:v>The demonstration focuses specifically on dialogue/music balance. Apply it to a scene where the score competes with essential information.</x:v>
      </x:c>
      <x:c r="H107" s="52" t="str">
        <x:v>Core lesson</x:v>
      </x:c>
      <x:c r="I107" s="52" t="str">
        <x:v>All genres</x:v>
      </x:c>
      <x:c r="J107" s="52" t="str">
        <x:v>Curtis Judd</x:v>
      </x:c>
      <x:c r="K107" s="52" t="str">
        <x:v>Audio-post workflow; UI may differ</x:v>
      </x:c>
      <x:c r="L107" s="52" t="str">
        <x:v>Free lesson</x:v>
      </x:c>
      <x:c r="M107" s="79" t="str">
        <x:v>https://www.learnlightandsound.com/blog/2022/10/17/sound-for-video-session-mix-music-behind-dialogue-amp-qampa</x:v>
      </x:c>
      <x:c r="N107" s="79" t="str">
        <x:v>https://www.learnlightandsound.com/blog/2022/10/17/sound-for-video-session-mix-music-behind-dialogue-amp-qampa</x:v>
      </x:c>
      <x:c r="O107" s="83" t="str">
        <x:v>Creator's session description reviewed</x:v>
      </x:c>
      <x:c r="P107" s="83" t="str">
        <x:v>No precise timestamp verified. Not a complete loudness/stems-delivery course.</x:v>
      </x:c>
    </x:row>
    <x:row r="108" ht="84" customHeight="1">
      <x:c r="A108" s="56" t="str">
        <x:v>Intermediate</x:v>
      </x:c>
      <x:c r="B108" s="98"/>
      <x:c r="C108" s="98"/>
      <x:c r="D108" s="75" t="str">
        <x:v>Editing and mixing a multi-track soundtrack</x:v>
      </x:c>
      <x:c r="E108" s="71" t="str">
        <x:f>IFERROR(HYPERLINK(M108,"Audio editing &amp; mixing"),"Audio editing &amp; mixing")</x:f>
        <x:v>Audio editing &amp; mixing</x:v>
      </x:c>
      <x:c r="F108" s="52" t="str">
        <x:v>Audio-editing and mixing portion; no chapter timing verified</x:v>
      </x:c>
      <x:c r="G108" s="52" t="str">
        <x:v>The audio workshop supports a deliberate dialogue/music/effects mix. Use the editing and mixing material, not unrelated application migration content.</x:v>
      </x:c>
      <x:c r="H108" s="52" t="str">
        <x:v>Supporting workshop</x:v>
      </x:c>
      <x:c r="I108" s="52" t="str">
        <x:v>All genres</x:v>
      </x:c>
      <x:c r="J108" s="52" t="str">
        <x:v>Adobe / John Knowles</x:v>
      </x:c>
      <x:c r="K108" s="52" t="str">
        <x:v>Premiere Pro</x:v>
      </x:c>
      <x:c r="L108" s="52" t="str">
        <x:v>Free lesson</x:v>
      </x:c>
      <x:c r="M108" s="79" t="str">
        <x:v>https://adobevideotraining.com/video/audio-editing-mixing/</x:v>
      </x:c>
      <x:c r="N108" s="79" t="str">
        <x:v>https://adobevideotraining.com/video/audio-editing-mixing/</x:v>
      </x:c>
      <x:c r="O108" s="83" t="str">
        <x:v>Publisher video description/syllabus reviewed; not full playback</x:v>
      </x:c>
      <x:c r="P108" s="83" t="str">
        <x:v>Use the installed-version controls. The publisher synopsis was reviewed; full playback was not audited. Publisher synopsis reviewed, not a full playback audit or verified demonstration of every audio subtopic.</x:v>
      </x:c>
    </x:row>
    <x:row r="109" ht="96" customHeight="1">
      <x:c r="A109" s="112" t="str">
        <x:v>Intermediate</x:v>
      </x:c>
      <x:c r="B109" s="113"/>
      <x:c r="C109" s="113"/>
      <x:c r="D109" s="107" t="str">
        <x:v>Dialogue isolation, reverb reduction and repair</x:v>
      </x:c>
      <x:c r="E109" s="108" t="str">
        <x:f>IFERROR(HYPERLINK(M109,"Remove Background Noise with RX 11 + Audio Post-production Tips"),"Remove Background Noise with RX 11 + Audio Post-production Tips")</x:f>
        <x:v>Remove Background Noise with RX 11 + Audio Post-production Tips</x:v>
      </x:c>
      <x:c r="F109" s="109" t="str">
        <x:v>Whole focused tutorial / case study; chapter timestamps not verified</x:v>
      </x:c>
      <x:c r="G109" s="109" t="str">
        <x:v>Repair a dialogue excerpt and compare clarity, artefacts and ambience before returning it to the sound edit.</x:v>
      </x:c>
      <x:c r="H109" s="109" t="str">
        <x:v>AI hybrid lesson (I-AI06)</x:v>
      </x:c>
      <x:c r="I109" s="109" t="str">
        <x:v>All genres</x:v>
      </x:c>
      <x:c r="J109" s="109" t="str">
        <x:v>iZotope</x:v>
      </x:c>
      <x:c r="K109" s="109" t="str">
        <x:v>iZotope RX 11</x:v>
      </x:c>
      <x:c r="L109" s="109" t="str">
        <x:v>Free YouTube video; tool access may be paid</x:v>
      </x:c>
      <x:c r="M109" s="110" t="str">
        <x:v>https://www.youtube.com/watch?v=D3QBcku2UB8</x:v>
      </x:c>
      <x:c r="N109" s="110" t="str">
        <x:v>https://www.youtube.com/watch?v=D3QBcku2UB8</x:v>
      </x:c>
      <x:c r="O109" s="111" t="str">
        <x:v>Description / publisher references reviewed; learner comments and counts unverified</x:v>
      </x:c>
      <x:c r="P109" s="111" t="str">
        <x:v>Paid software; available modules depend on edition.</x:v>
      </x:c>
    </x:row>
    <x:row r="110" ht="64" customHeight="1">
      <x:c r="A110" s="56" t="str">
        <x:v>Intermediate</x:v>
      </x:c>
      <x:c r="B110" s="98" t="str">
        <x:v>I11
Colour correction, shot matching and look development</x:v>
      </x:c>
      <x:c r="C110" s="98"/>
      <x:c r="D110" s="74" t="str">
        <x:v>Matching shots and refining tonal curves</x:v>
      </x:c>
      <x:c r="E110" s="70" t="str">
        <x:f>IFERROR(HYPERLINK(M110,"Create a professional look using Color
Match and Curves"),"Create a professional look using Color
Match and Curves")</x:f>
        <x:v>Create a professional look using Color
Match and Curves</x:v>
      </x:c>
      <x:c r="F110" s="44" t="str">
        <x:v>00:33 Color Match; 01:11 Curves</x:v>
      </x:c>
      <x:c r="G110" s="44" t="str">
        <x:v>Directly teaches matching neighbouring images and adjusting curves. Produce corrected comparisons before applying a creative look.</x:v>
      </x:c>
      <x:c r="H110" s="44" t="str">
        <x:v>Core lesson</x:v>
      </x:c>
      <x:c r="I110" s="44" t="str">
        <x:v>All genres</x:v>
      </x:c>
      <x:c r="J110" s="44" t="str">
        <x:v>Adobe</x:v>
      </x:c>
      <x:c r="K110" s="44" t="str">
        <x:v>Premiere Pro</x:v>
      </x:c>
      <x:c r="L110" s="44" t="str">
        <x:v>Free lesson</x:v>
      </x:c>
      <x:c r="M110" s="78" t="str">
        <x:v>https://www.adobe.com/learn/premiere-pro/web/color-match-and-curves</x:v>
      </x:c>
      <x:c r="N110" s="78" t="str">
        <x:v>https://www.adobe.com/learn/premiere-pro/web/color-match-and-curves</x:v>
      </x:c>
      <x:c r="O110" s="82" t="str">
        <x:v>Publisher video transcript reviewed</x:v>
      </x:c>
      <x:c r="P110" s="82" t="str">
        <x:v>Practise the named skill; the video is not evidence of independent competence.</x:v>
      </x:c>
    </x:row>
    <x:row r="111" ht="64" customHeight="1">
      <x:c r="A111" s="56" t="str">
        <x:v>Intermediate</x:v>
      </x:c>
      <x:c r="B111" s="98"/>
      <x:c r="C111" s="98"/>
      <x:c r="D111" s="74" t="str">
        <x:v>Lumetri colour correction and grading</x:v>
      </x:c>
      <x:c r="E111" s="70" t="str">
        <x:f>IFERROR(HYPERLINK(M111,"Color correction &amp; grading"),"Color correction &amp; grading")</x:f>
        <x:v>Color correction &amp; grading</x:v>
      </x:c>
      <x:c r="F111" s="44" t="str">
        <x:v>Correction and grading demonstration; no chapter timing verified</x:v>
      </x:c>
      <x:c r="G111" s="44" t="str">
        <x:v>Use the colour controls to correct and match the sequence. Evaluate the look across the whole edit, not one attractive still.</x:v>
      </x:c>
      <x:c r="H111" s="44" t="str">
        <x:v>Core lesson</x:v>
      </x:c>
      <x:c r="I111" s="44" t="str">
        <x:v>All genres</x:v>
      </x:c>
      <x:c r="J111" s="44" t="str">
        <x:v>Adobe Video Training</x:v>
      </x:c>
      <x:c r="K111" s="44" t="str">
        <x:v>Premiere Pro</x:v>
      </x:c>
      <x:c r="L111" s="44" t="str">
        <x:v>Free lesson</x:v>
      </x:c>
      <x:c r="M111" s="78" t="str">
        <x:v>https://adobevideotraining.com/video/color-correction-grading/</x:v>
      </x:c>
      <x:c r="N111" s="78" t="str">
        <x:v>https://adobevideotraining.com/video/color-correction-grading/</x:v>
      </x:c>
      <x:c r="O111" s="82" t="str">
        <x:v>Publisher video description/syllabus reviewed; not full playback</x:v>
      </x:c>
      <x:c r="P111" s="82" t="str">
        <x:v>Use the installed-version controls. The publisher synopsis was reviewed; full playback was not audited.</x:v>
      </x:c>
    </x:row>
    <x:row r="112" ht="72" customHeight="1">
      <x:c r="A112" s="56" t="str">
        <x:v>Intermediate</x:v>
      </x:c>
      <x:c r="B112" s="98"/>
      <x:c r="C112" s="98"/>
      <x:c r="D112" s="74" t="str">
        <x:v>Handling log material in the colour workflow</x:v>
      </x:c>
      <x:c r="E112" s="70" t="str">
        <x:f>IFERROR(HYPERLINK(M112,"Color Management"),"Color Management")</x:f>
        <x:v>Color Management</x:v>
      </x:c>
      <x:c r="F112" s="44" t="str">
        <x:v>Input handling and colour-management settings</x:v>
      </x:c>
      <x:c r="G112" s="44" t="str">
        <x:v>Explains colour management rather than simply adding a LUT. Use only when the learner actually records log or mixed-source material.</x:v>
      </x:c>
      <x:c r="H112" s="44" t="str">
        <x:v>Conditional technical lesson</x:v>
      </x:c>
      <x:c r="I112" s="44" t="str">
        <x:v>All genres</x:v>
      </x:c>
      <x:c r="J112" s="44" t="str">
        <x:v>Adobe / Karl Soule</x:v>
      </x:c>
      <x:c r="K112" s="44" t="str">
        <x:v>Premiere Pro</x:v>
      </x:c>
      <x:c r="L112" s="44" t="str">
        <x:v>Free lesson</x:v>
      </x:c>
      <x:c r="M112" s="78" t="str">
        <x:v>https://adobevideotraining.com/video/color-management/</x:v>
      </x:c>
      <x:c r="N112" s="78" t="str">
        <x:v>https://adobevideotraining.com/video/color-management/</x:v>
      </x:c>
      <x:c r="O112" s="82" t="str">
        <x:v>Publisher video description/syllabus reviewed; not full playback</x:v>
      </x:c>
      <x:c r="P112" s="82" t="str">
        <x:v>Use the installed-version controls. The publisher synopsis was reviewed; full playback was not audited. Not compulsory for footage recorded in a ready-to-view profile.</x:v>
      </x:c>
    </x:row>
    <x:row r="113" ht="64" customHeight="1">
      <x:c r="A113" s="56" t="str">
        <x:v>Intermediate</x:v>
      </x:c>
      <x:c r="B113" s="98" t="str">
        <x:v>I12
Titles, accessibility, adaptation and delivery</x:v>
      </x:c>
      <x:c r="C113" s="98"/>
      <x:c r="D113" s="75" t="str">
        <x:v>Producing accurate, readable captions</x:v>
      </x:c>
      <x:c r="E113" s="71" t="str">
        <x:f>IFERROR(HYPERLINK(M113,"Improve video accessibility using
captioning tools"),"Improve video accessibility using
captioning tools")</x:f>
        <x:v>Improve video accessibility using
captioning tools</x:v>
      </x:c>
      <x:c r="F113" s="52" t="str">
        <x:v>00:33 transcription; 01:03 caption creation; 01:27 styling</x:v>
      </x:c>
      <x:c r="G113" s="52" t="str">
        <x:v>Shows the caption workflow. Proofread names, wording and timing before delivering the finished version.</x:v>
      </x:c>
      <x:c r="H113" s="52" t="str">
        <x:v>Core lesson</x:v>
      </x:c>
      <x:c r="I113" s="52" t="str">
        <x:v>All genres</x:v>
      </x:c>
      <x:c r="J113" s="52" t="str">
        <x:v>Adobe</x:v>
      </x:c>
      <x:c r="K113" s="52" t="str">
        <x:v>Premiere Pro</x:v>
      </x:c>
      <x:c r="L113" s="52" t="str">
        <x:v>Free lesson</x:v>
      </x:c>
      <x:c r="M113" s="79" t="str">
        <x:v>https://www.adobe.com/learn/premiere-pro/web/subtitles</x:v>
      </x:c>
      <x:c r="N113" s="79" t="str">
        <x:v>https://www.adobe.com/learn/premiere-pro/web/subtitles</x:v>
      </x:c>
      <x:c r="O113" s="83" t="str">
        <x:v>Publisher video transcript reviewed</x:v>
      </x:c>
      <x:c r="P113" s="83" t="str">
        <x:v>Practise the named skill; the video is not evidence of independent competence.</x:v>
      </x:c>
    </x:row>
    <x:row r="114" ht="64" customHeight="1">
      <x:c r="A114" s="56" t="str">
        <x:v>Intermediate</x:v>
      </x:c>
      <x:c r="B114" s="98"/>
      <x:c r="C114" s="98"/>
      <x:c r="D114" s="75" t="str">
        <x:v>Reframing an alternate aspect ratio</x:v>
      </x:c>
      <x:c r="E114" s="71" t="str">
        <x:f>IFERROR(HYPERLINK(M114,"Reframe your video for multiple social
platforms"),"Reframe your video for multiple social
platforms")</x:f>
        <x:v>Reframe your video for multiple social
platforms</x:v>
      </x:c>
      <x:c r="F114" s="52" t="str">
        <x:v>00:31 Auto Reframe; 01:06 refine using position/scale keyframes</x:v>
      </x:c>
      <x:c r="G114" s="52" t="str">
        <x:v>Demonstrates Auto Reframe and manual refinement. Inspect important actions and text in the alternate version rather than simply cropping.</x:v>
      </x:c>
      <x:c r="H114" s="52" t="str">
        <x:v>Core lesson</x:v>
      </x:c>
      <x:c r="I114" s="52" t="str">
        <x:v>All genres</x:v>
      </x:c>
      <x:c r="J114" s="52" t="str">
        <x:v>Adobe / Jay Espitia-Pierluissi</x:v>
      </x:c>
      <x:c r="K114" s="52" t="str">
        <x:v>Premiere</x:v>
      </x:c>
      <x:c r="L114" s="52" t="str">
        <x:v>Free lesson</x:v>
      </x:c>
      <x:c r="M114" s="79" t="str">
        <x:v>https://www.adobe.com/learn/premiere-pro/web/auto-reframe-for-socials</x:v>
      </x:c>
      <x:c r="N114" s="79" t="str">
        <x:v>https://www.adobe.com/learn/premiere-pro/web/auto-reframe-for-socials</x:v>
      </x:c>
      <x:c r="O114" s="83" t="str">
        <x:v>Publisher video transcript reviewed</x:v>
      </x:c>
      <x:c r="P114" s="83" t="str">
        <x:v>Changes framing, not the script, hook or narrative. Manually inspect the entire reframed output.</x:v>
      </x:c>
    </x:row>
    <x:row r="115" ht="72" customHeight="1">
      <x:c r="A115" s="56" t="str">
        <x:v>Intermediate</x:v>
      </x:c>
      <x:c r="B115" s="98"/>
      <x:c r="C115" s="98"/>
      <x:c r="D115" s="75" t="str">
        <x:v>Choosing and checking export settings</x:v>
      </x:c>
      <x:c r="E115" s="71" t="str">
        <x:f>IFERROR(HYPERLINK(M115,"Exporting &amp; delivering projects"),"Exporting &amp; delivering projects")</x:f>
        <x:v>Exporting &amp; delivering projects</x:v>
      </x:c>
      <x:c r="F115" s="52" t="str">
        <x:v>Whole focused lesson; no chapter markers verified</x:v>
      </x:c>
      <x:c r="G115" s="52" t="str">
        <x:v>The export-focused workshop supports the actual delivery specification. Compare the exported file against the agreed resolution, audio and format requirements.</x:v>
      </x:c>
      <x:c r="H115" s="52" t="str">
        <x:v>Core lesson</x:v>
      </x:c>
      <x:c r="I115" s="52" t="str">
        <x:v>All genres</x:v>
      </x:c>
      <x:c r="J115" s="52" t="str">
        <x:v>Adobe Video Training</x:v>
      </x:c>
      <x:c r="K115" s="52" t="str">
        <x:v>Premiere Pro</x:v>
      </x:c>
      <x:c r="L115" s="52" t="str">
        <x:v>Free lesson</x:v>
      </x:c>
      <x:c r="M115" s="79" t="str">
        <x:v>https://adobevideotraining.com/video/exporting-delivering-projects/</x:v>
      </x:c>
      <x:c r="N115" s="79" t="str">
        <x:v>https://adobevideotraining.com/video/exporting-delivering-projects/</x:v>
      </x:c>
      <x:c r="O115" s="83" t="str">
        <x:v>Publisher video description/syllabus reviewed; not full playback</x:v>
      </x:c>
      <x:c r="P115" s="83" t="str">
        <x:v>Use the installed-version controls. The publisher synopsis was reviewed; full playback was not audited.</x:v>
      </x:c>
    </x:row>
    <x:row r="116" ht="64" customHeight="1">
      <x:c r="A116" s="56" t="str">
        <x:v>Intermediate</x:v>
      </x:c>
      <x:c r="B116" s="98"/>
      <x:c r="C116" s="98"/>
      <x:c r="D116" s="75" t="str">
        <x:v>Collecting timecoded feedback and issuing a revision</x:v>
      </x:c>
      <x:c r="E116" s="71" t="str">
        <x:f>IFERROR(HYPERLINK(M116,"Enhance your review process with Frame.io"),"Enhance your review process with Frame.io")</x:f>
        <x:v>Enhance your review process with Frame.io</x:v>
      </x:c>
      <x:c r="F116" s="52" t="str">
        <x:v>00:30 upload; timecoded feedback; new-version workflow</x:v>
      </x:c>
      <x:c r="G116" s="52" t="str">
        <x:v>Directly demonstrates review comments and new versions. Complete one feedback round with a clear record of what changed.</x:v>
      </x:c>
      <x:c r="H116" s="52" t="str">
        <x:v>Supporting workflow</x:v>
      </x:c>
      <x:c r="I116" s="52" t="str">
        <x:v>All genres</x:v>
      </x:c>
      <x:c r="J116" s="52" t="str">
        <x:v>Adobe / Sarah John</x:v>
      </x:c>
      <x:c r="K116" s="52" t="str">
        <x:v>Premiere / Frame.io</x:v>
      </x:c>
      <x:c r="L116" s="52" t="str">
        <x:v>Free lesson</x:v>
      </x:c>
      <x:c r="M116" s="79" t="str">
        <x:v>https://www.adobe.com/learn/premiere-pro/web/team-review-with-frame-io</x:v>
      </x:c>
      <x:c r="N116" s="79" t="str">
        <x:v>https://www.adobe.com/learn/premiere-pro/web/team-review-with-frame-io</x:v>
      </x:c>
      <x:c r="O116" s="83" t="str">
        <x:v>Publisher video transcript reviewed</x:v>
      </x:c>
      <x:c r="P116" s="83" t="str">
        <x:v>Legacy/V4 panel locations differ. Teaches review mechanics, not creative-note judgement.</x:v>
      </x:c>
    </x:row>
    <x:row r="117" ht="64" customHeight="1">
      <x:c r="A117" s="56" t="str">
        <x:v>Intermediate</x:v>
      </x:c>
      <x:c r="B117" s="98" t="str">
        <x:v>I13
One specialisation pathway — choose one of eight</x:v>
      </x:c>
      <x:c r="C117" s="98"/>
      <x:c r="D117" s="74" t="str">
        <x:v>Wedding: protecting ceremony coverage and essential sound</x:v>
      </x:c>
      <x:c r="E117" s="70" t="str">
        <x:f>IFERROR(HYPERLINK(M117,"How to Film a Wedding Ceremony"),"How to Film a Wedding Ceremony")</x:f>
        <x:v>How to Film a Wedding Ceremony</x:v>
      </x:c>
      <x:c r="F117" s="44" t="str">
        <x:v>Whole focused lesson; no chapter markers verified</x:v>
      </x:c>
      <x:c r="G117" s="44" t="str">
        <x:v>The ceremony walkthrough addresses unrepeatable moments and recording positions. Build an essential-moments plan before supervised coverage.</x:v>
      </x:c>
      <x:c r="H117" s="44" t="str">
        <x:v>Selected-pathway lesson</x:v>
      </x:c>
      <x:c r="I117" s="44" t="str">
        <x:v>Wedding</x:v>
      </x:c>
      <x:c r="J117" s="44" t="str">
        <x:v>Matt Johnson / WhoisMatt</x:v>
      </x:c>
      <x:c r="K117" s="44" t="str">
        <x:v>Tool-independent</x:v>
      </x:c>
      <x:c r="L117" s="44" t="str">
        <x:v>Free lesson</x:v>
      </x:c>
      <x:c r="M117" s="78" t="str">
        <x:v>https://whoismatt.com/howtofilmaweddingceremony/</x:v>
      </x:c>
      <x:c r="N117" s="78" t="str">
        <x:v>https://whoismatt.com/howtofilmaweddingceremony/</x:v>
      </x:c>
      <x:c r="O117" s="82" t="str">
        <x:v>Creator's detailed lesson breakdown reviewed</x:v>
      </x:c>
      <x:c r="P117" s="82" t="str">
        <x:v>Older equipment examples; adapt to available gear. This is not an equipment-buying recommendation.</x:v>
      </x:c>
    </x:row>
    <x:row r="118" ht="64" customHeight="1">
      <x:c r="A118" s="56" t="str">
        <x:v>Intermediate</x:v>
      </x:c>
      <x:c r="B118" s="98"/>
      <x:c r="C118" s="98"/>
      <x:c r="D118" s="74" t="str">
        <x:v>Wedding: preparation based on the couple and schedule</x:v>
      </x:c>
      <x:c r="E118" s="70" t="str">
        <x:f>IFERROR(HYPERLINK(M118,"Planning, Gear and Establishing Shots —
Wedding BTS Part 1"),"Planning, Gear and Establishing Shots —
Wedding BTS Part 1")</x:f>
        <x:v>Planning, Gear and Establishing Shots —
Wedding BTS Part 1</x:v>
      </x:c>
      <x:c r="F118" s="44" t="str">
        <x:v>Whole focused lesson; no chapter markers verified</x:v>
      </x:c>
      <x:c r="G118" s="44" t="str">
        <x:v>The planning section connects subject research, timing and establishing shots. Use it to build a realistic wedding-day coverage plan.</x:v>
      </x:c>
      <x:c r="H118" s="44" t="str">
        <x:v>Selected-pathway lesson</x:v>
      </x:c>
      <x:c r="I118" s="44" t="str">
        <x:v>Wedding</x:v>
      </x:c>
      <x:c r="J118" s="44" t="str">
        <x:v>Matt Johnson / WhoisMatt</x:v>
      </x:c>
      <x:c r="K118" s="44" t="str">
        <x:v>Tool-independent</x:v>
      </x:c>
      <x:c r="L118" s="44" t="str">
        <x:v>Free lesson</x:v>
      </x:c>
      <x:c r="M118" s="78" t="str">
        <x:v>https://whoismatt.com/noahandmalbtspart1/</x:v>
      </x:c>
      <x:c r="N118" s="78" t="str">
        <x:v>https://whoismatt.com/noahandmalbtspart1/</x:v>
      </x:c>
      <x:c r="O118" s="82" t="str">
        <x:v>Creator's detailed lesson breakdown reviewed</x:v>
      </x:c>
      <x:c r="P118" s="82" t="str">
        <x:v>Older equipment examples; adapt to available gear. This is not an equipment-buying recommendation.</x:v>
      </x:c>
    </x:row>
    <x:row r="119" ht="64" customHeight="1">
      <x:c r="A119" s="56" t="str">
        <x:v>Intermediate</x:v>
      </x:c>
      <x:c r="B119" s="98"/>
      <x:c r="C119" s="98"/>
      <x:c r="D119" s="74" t="str">
        <x:v>Events: story units within a recap</x:v>
      </x:c>
      <x:c r="E119" s="70" t="str">
        <x:f>IFERROR(HYPERLINK(M119,"Event Videography Tutorial — Highlight
Sequence Editing"),"Event Videography Tutorial — Highlight
Sequence Editing")</x:f>
        <x:v>Event Videography Tutorial — Highlight
Sequence Editing</x:v>
      </x:c>
      <x:c r="F119" s="44" t="str">
        <x:v>Whole focused lesson; no chapter markers verified</x:v>
      </x:c>
      <x:c r="G119" s="44" t="str">
        <x:v>Directly teaches event highlight sequencing. Combine meaningful action/reaction units rather than cutting arbitrary clips to music.</x:v>
      </x:c>
      <x:c r="H119" s="44" t="str">
        <x:v>Selected-pathway lesson</x:v>
      </x:c>
      <x:c r="I119" s="44" t="str">
        <x:v>Events</x:v>
      </x:c>
      <x:c r="J119" s="44" t="str">
        <x:v>Video Upskill / Alex</x:v>
      </x:c>
      <x:c r="K119" s="44" t="str">
        <x:v>Premiere Pro</x:v>
      </x:c>
      <x:c r="L119" s="44" t="str">
        <x:v>Free lesson</x:v>
      </x:c>
      <x:c r="M119" s="78" t="str">
        <x:v>https://videoupskill.com/event-videography-tutorial-highlight-sequence-editing/</x:v>
      </x:c>
      <x:c r="N119" s="78" t="str">
        <x:v>https://videoupskill.com/event-videography-tutorial-highlight-sequence-editing/</x:v>
      </x:c>
      <x:c r="O119" s="82" t="str">
        <x:v>Creator lesson page reviewed</x:v>
      </x:c>
      <x:c r="P119" s="82" t="str">
        <x:v>Practise the named skill; the video is not evidence of independent competence.</x:v>
      </x:c>
    </x:row>
    <x:row r="120" ht="64" customHeight="1">
      <x:c r="A120" s="56" t="str">
        <x:v>Intermediate</x:v>
      </x:c>
      <x:c r="B120" s="98"/>
      <x:c r="C120" s="98"/>
      <x:c r="D120" s="74" t="str">
        <x:v>Events: protecting a speech while capturing other coverage</x:v>
      </x:c>
      <x:c r="E120" s="70" t="str">
        <x:f>IFERROR(HYPERLINK(M120,"How to Film a Conference — Multiple Cameras
as a Solo Videographer"),"How to Film a Conference — Multiple Cameras
as a Solo Videographer")</x:f>
        <x:v>How to Film a Conference — Multiple Cameras
as a Solo Videographer</x:v>
      </x:c>
      <x:c r="F120" s="44" t="str">
        <x:v>Whole focused lesson; no chapter markers verified</x:v>
      </x:c>
      <x:c r="G120" s="44" t="str">
        <x:v>The conference demonstration explains multiple-camera responsibilities for a solo operator. Translate it into a manageable run-of-show plan.</x:v>
      </x:c>
      <x:c r="H120" s="44" t="str">
        <x:v>Selected-pathway lesson</x:v>
      </x:c>
      <x:c r="I120" s="44" t="str">
        <x:v>Events</x:v>
      </x:c>
      <x:c r="J120" s="44" t="str">
        <x:v>Video Upskill / Alex</x:v>
      </x:c>
      <x:c r="K120" s="44" t="str">
        <x:v>Tool-independent</x:v>
      </x:c>
      <x:c r="L120" s="44" t="str">
        <x:v>Free lesson</x:v>
      </x:c>
      <x:c r="M120" s="78" t="str">
        <x:v>https://videoupskill.com/how-to-film-a-conference-how-to-shoot-with-multiple-cameras-solo-videography/</x:v>
      </x:c>
      <x:c r="N120" s="78" t="str">
        <x:v>https://videoupskill.com/how-to-film-a-conference-how-to-shoot-with-multiple-cameras-solo-videography/</x:v>
      </x:c>
      <x:c r="O120" s="82" t="str">
        <x:v>Creator lesson page reviewed</x:v>
      </x:c>
      <x:c r="P120" s="82" t="str">
        <x:v>Practise the named skill; the video is not evidence of independent competence.</x:v>
      </x:c>
    </x:row>
    <x:row r="121" ht="72" customHeight="1">
      <x:c r="A121" s="56" t="str">
        <x:v>Intermediate</x:v>
      </x:c>
      <x:c r="B121" s="98"/>
      <x:c r="C121" s="98"/>
      <x:c r="D121" s="74" t="str">
        <x:v>Corporate: preparing and filming the client interview</x:v>
      </x:c>
      <x:c r="E121" s="70" t="str">
        <x:f>IFERROR(HYPERLINK(M121,"Corporate Video Guide"),"Corporate Video Guide")</x:f>
        <x:v>Corporate Video Guide</x:v>
      </x:c>
      <x:c r="F121" s="44" t="str">
        <x:v>2.7 interview shoot; 2.9 client interview preparation; 2.10 questions</x:v>
      </x:c>
      <x:c r="G121" s="44" t="str">
        <x:v>The named interview lessons directly support a customer or employee story. Prepare questions and shooting requirements before the approval session.</x:v>
      </x:c>
      <x:c r="H121" s="44" t="str">
        <x:v>Optional paid lesson</x:v>
      </x:c>
      <x:c r="I121" s="44" t="str">
        <x:v>Corporate</x:v>
      </x:c>
      <x:c r="J121" s="44" t="str">
        <x:v>DSLR Video Shooter / Caleb Pike</x:v>
      </x:c>
      <x:c r="K121" s="44" t="str">
        <x:v>Tool-independent</x:v>
      </x:c>
      <x:c r="L121" s="62" t="str">
        <x:v>Paid / subscription</x:v>
      </x:c>
      <x:c r="M121" s="78" t="str">
        <x:v>https://academy.dslrvideoshooter.com/courses/corporate-video-guide</x:v>
      </x:c>
      <x:c r="N121" s="78" t="str">
        <x:v>https://academy.dslrvideoshooter.com/courses/corporate-video-guide</x:v>
      </x:c>
      <x:c r="O121" s="82" t="str">
        <x:v>Publisher syllabus and named sections reviewed; paid lessons not accessed</x:v>
      </x:c>
      <x:c r="P121" s="82" t="str">
        <x:v>Optional paid resource. Only the named section is assigned; full course and playback not audited.</x:v>
      </x:c>
    </x:row>
    <x:row r="122" ht="64" customHeight="1">
      <x:c r="A122" s="56" t="str">
        <x:v>Intermediate</x:v>
      </x:c>
      <x:c r="B122" s="98"/>
      <x:c r="C122" s="98"/>
      <x:c r="D122" s="74" t="str">
        <x:v>Corporate: choosing the background and lighting an interview</x:v>
      </x:c>
      <x:c r="E122" s="70" t="str">
        <x:f>IFERROR(HYPERLINK(M122,"Lighting Interviews | Commercial
Cinematography Techniques"),"Lighting Interviews | Commercial
Cinematography Techniques")</x:f>
        <x:v>Lighting Interviews | Commercial
Cinematography Techniques</x:v>
      </x:c>
      <x:c r="F122" s="44" t="str">
        <x:v>Background depth, subject position, shaped light; low/high-budget comparison</x:v>
      </x:c>
      <x:c r="G122" s="44" t="str">
        <x:v>The commercial interview example teaches location depth and light shaping. Build a brand-appropriate setup within the available resources.</x:v>
      </x:c>
      <x:c r="H122" s="44" t="str">
        <x:v>Selected-pathway lesson</x:v>
      </x:c>
      <x:c r="I122" s="44" t="str">
        <x:v>Corporate</x:v>
      </x:c>
      <x:c r="J122" s="44" t="str">
        <x:v>Aputure</x:v>
      </x:c>
      <x:c r="K122" s="44" t="str">
        <x:v>Tool-independent</x:v>
      </x:c>
      <x:c r="L122" s="44" t="str">
        <x:v>Free lesson</x:v>
      </x:c>
      <x:c r="M122" s="78" t="str">
        <x:v>https://www.youtube.com/watch?v=5pQYYiFiHdg</x:v>
      </x:c>
      <x:c r="N122" s="78" t="str">
        <x:v>https://www.youtube.com/watch?v=5pQYYiFiHdg</x:v>
      </x:c>
      <x:c r="O122" s="82" t="str">
        <x:v>Detailed creator demonstration outline reviewed</x:v>
      </x:c>
      <x:c r="P122" s="82" t="str">
        <x:v>Practise the named skill; the video is not evidence of independent competence.</x:v>
      </x:c>
    </x:row>
    <x:row r="123" ht="64" customHeight="1">
      <x:c r="A123" s="56" t="str">
        <x:v>Intermediate</x:v>
      </x:c>
      <x:c r="B123" s="98"/>
      <x:c r="C123" s="98"/>
      <x:c r="D123" s="74" t="str">
        <x:v>Documentary: listening and following a developing answer</x:v>
      </x:c>
      <x:c r="E123" s="70" t="str">
        <x:f>IFERROR(HYPERLINK(M123,"How to Ask Great Documentary Interview
Questions"),"How to Ask Great Documentary Interview
Questions")</x:f>
        <x:v>How to Ask Great Documentary Interview
Questions</x:v>
      </x:c>
      <x:c r="F123" s="44" t="str">
        <x:v>Interview purpose, open questions, listening and follow-ups</x:v>
      </x:c>
      <x:c r="G123" s="44" t="str">
        <x:v>The interview-question lesson supports discovery rather than scripted claims. Capture evidence and follow-ups needed for a truthful profile.</x:v>
      </x:c>
      <x:c r="H123" s="44" t="str">
        <x:v>Selected-pathway lesson</x:v>
      </x:c>
      <x:c r="I123" s="44" t="str">
        <x:v>Documentary</x:v>
      </x:c>
      <x:c r="J123" s="44" t="str">
        <x:v>Videomaker</x:v>
      </x:c>
      <x:c r="K123" s="44" t="str">
        <x:v>Tool-independent</x:v>
      </x:c>
      <x:c r="L123" s="44" t="str">
        <x:v>Free lesson</x:v>
      </x:c>
      <x:c r="M123" s="78" t="str">
        <x:v>https://www.youtube.com/watch?v=qddEATeRpcI</x:v>
      </x:c>
      <x:c r="N123" s="78" t="str">
        <x:v>https://www.videomaker.com/article/c06/19014-how-to-ask-great-documentary-interview-questions/?amp=1</x:v>
      </x:c>
      <x:c r="O123" s="82" t="str">
        <x:v>Publisher's accompanying teaching article reviewed</x:v>
      </x:c>
      <x:c r="P123" s="82" t="str">
        <x:v>Practise the named skill; the video is not evidence of independent competence.</x:v>
      </x:c>
    </x:row>
    <x:row r="124" ht="72" customHeight="1">
      <x:c r="A124" s="56" t="str">
        <x:v>Intermediate</x:v>
      </x:c>
      <x:c r="B124" s="98"/>
      <x:c r="C124" s="98"/>
      <x:c r="D124" s="74" t="str">
        <x:v>Documentary: the effect of structure and music on interpretation</x:v>
      </x:c>
      <x:c r="E124" s="70" t="str">
        <x:f>IFERROR(HYPERLINK(M124,"How Editors Cut the Same Scene in 2
Completely Different Ways"),"How Editors Cut the Same Scene in 2
Completely Different Ways")</x:f>
        <x:v>How Editors Cut the Same Scene in 2
Completely Different Ways</x:v>
      </x:c>
      <x:c r="F124" s="44" t="str">
        <x:v>02:18/04:01 versions; 06:47 structure; 13:42 tone</x:v>
      </x:c>
      <x:c r="G124" s="44" t="str">
        <x:v>Two versions of the same documentary footage reveal editorial choices. Compare interpretations without changing what participants actually said.</x:v>
      </x:c>
      <x:c r="H124" s="44" t="str">
        <x:v>Selected-pathway case study</x:v>
      </x:c>
      <x:c r="I124" s="44" t="str">
        <x:v>Documentary</x:v>
      </x:c>
      <x:c r="J124" s="44" t="str">
        <x:v>Inside The Edit</x:v>
      </x:c>
      <x:c r="K124" s="44" t="str">
        <x:v>Tool-independent</x:v>
      </x:c>
      <x:c r="L124" s="44" t="str">
        <x:v>Free lesson</x:v>
      </x:c>
      <x:c r="M124" s="78" t="str">
        <x:v>https://www.youtube.com/watch?v=KAO0n3C0kAg</x:v>
      </x:c>
      <x:c r="N124" s="78" t="str">
        <x:v>https://www.youtube.com/watch?v=KAO0n3C0kAg</x:v>
      </x:c>
      <x:c r="O124" s="82" t="str">
        <x:v>Creator description and chapter list reviewed</x:v>
      </x:c>
      <x:c r="P124" s="82" t="str">
        <x:v>Practise the named skill; the video is not evidence of independent competence.</x:v>
      </x:c>
    </x:row>
    <x:row r="125" ht="64" customHeight="1">
      <x:c r="A125" s="56" t="str">
        <x:v>Intermediate</x:v>
      </x:c>
      <x:c r="B125" s="98"/>
      <x:c r="C125" s="98"/>
      <x:c r="D125" s="74" t="str">
        <x:v>Social media: adapting footage to vertical composition</x:v>
      </x:c>
      <x:c r="E125" s="70" t="str">
        <x:f>IFERROR(HYPERLINK(M125,"Reframe your video for multiple social
platforms"),"Reframe your video for multiple social
platforms")</x:f>
        <x:v>Reframe your video for multiple social
platforms</x:v>
      </x:c>
      <x:c r="F125" s="44" t="str">
        <x:v>00:31 Auto Reframe; 01:06 refine using position/scale keyframes</x:v>
      </x:c>
      <x:c r="G125" s="44" t="str">
        <x:v>Teaches aspect-ratio conversion and keyframed reframing. Check that each version keeps the important action and text visible.</x:v>
      </x:c>
      <x:c r="H125" s="44" t="str">
        <x:v>Selected-pathway technical lesson</x:v>
      </x:c>
      <x:c r="I125" s="44" t="str">
        <x:v>Social media</x:v>
      </x:c>
      <x:c r="J125" s="44" t="str">
        <x:v>Adobe / Jay Espitia-Pierluissi</x:v>
      </x:c>
      <x:c r="K125" s="44" t="str">
        <x:v>Premiere</x:v>
      </x:c>
      <x:c r="L125" s="44" t="str">
        <x:v>Free lesson</x:v>
      </x:c>
      <x:c r="M125" s="78" t="str">
        <x:v>https://www.adobe.com/learn/premiere-pro/web/auto-reframe-for-socials</x:v>
      </x:c>
      <x:c r="N125" s="78" t="str">
        <x:v>https://www.adobe.com/learn/premiere-pro/web/auto-reframe-for-socials</x:v>
      </x:c>
      <x:c r="O125" s="82" t="str">
        <x:v>Publisher video transcript reviewed</x:v>
      </x:c>
      <x:c r="P125" s="82" t="str">
        <x:v>Changes framing, not the script, hook or narrative. Manually inspect the entire reframed output.</x:v>
      </x:c>
    </x:row>
    <x:row r="126" ht="72" customHeight="1">
      <x:c r="A126" s="56" t="str">
        <x:v>Intermediate</x:v>
      </x:c>
      <x:c r="B126" s="98"/>
      <x:c r="C126" s="98"/>
      <x:c r="D126" s="74" t="str">
        <x:v>Social media: designing different opening strategies</x:v>
      </x:c>
      <x:c r="E126" s="70" t="str">
        <x:f>IFERROR(HYPERLINK(M126,"How to HOOK Your Viewer in 5 Seconds —
Video Hook Strategy"),"How to HOOK Your Viewer in 5 Seconds —
Video Hook Strategy")</x:f>
        <x:v>How to HOOK Your Viewer in 5 Seconds —
Video Hook Strategy</x:v>
      </x:c>
      <x:c r="F126" s="44" t="str">
        <x:v>00:32–03:07 hook strategies; 03:07–05:20 worked examples</x:v>
      </x:c>
      <x:c r="G126" s="44" t="str">
        <x:v>The hook examples directly support making three genuinely different openings. Test a visual cue, an audio cue and a direct statement against the same message.</x:v>
      </x:c>
      <x:c r="H126" s="44" t="str">
        <x:v>Selected-pathway lesson</x:v>
      </x:c>
      <x:c r="I126" s="44" t="str">
        <x:v>Social media</x:v>
      </x:c>
      <x:c r="J126" s="44" t="str">
        <x:v>Kapwing</x:v>
      </x:c>
      <x:c r="K126" s="44" t="str">
        <x:v>Tool-independent</x:v>
      </x:c>
      <x:c r="L126" s="44" t="str">
        <x:v>Free lesson</x:v>
      </x:c>
      <x:c r="M126" s="78" t="str">
        <x:v>https://www.youtube.com/watch?v=g99k86QzyDk</x:v>
      </x:c>
      <x:c r="N126" s="78" t="str">
        <x:v>https://www.youtube.com/watch?v=g99k86QzyDk</x:v>
      </x:c>
      <x:c r="O126" s="82" t="str">
        <x:v>Creator description and chapter list reviewed</x:v>
      </x:c>
      <x:c r="P126" s="82" t="str">
        <x:v>Marketing advice, not a retention guarantee; tools shown are optional.</x:v>
      </x:c>
    </x:row>
    <x:row r="127" ht="64" customHeight="1">
      <x:c r="A127" s="56" t="str">
        <x:v>Intermediate</x:v>
      </x:c>
      <x:c r="B127" s="98"/>
      <x:c r="C127" s="98"/>
      <x:c r="D127" s="74" t="str">
        <x:v>YouTube: diagnosing weak engagement in an explanation</x:v>
      </x:c>
      <x:c r="E127" s="70" t="str">
        <x:f>IFERROR(HYPERLINK(M127,"6 Tips for Better Audience Retention!"),"6 Tips for Better Audience Retention!")</x:f>
        <x:v>6 Tips for Better Audience Retention!</x:v>
      </x:c>
      <x:c r="F127" s="44" t="str">
        <x:v>Audience-retention advice; no chapter markers verified</x:v>
      </x:c>
      <x:c r="G127" s="44" t="str">
        <x:v>The retention advice supports revising introductions and pacing. Write a reasoned change to the explainer rather than promising growth.</x:v>
      </x:c>
      <x:c r="H127" s="44" t="str">
        <x:v>Selected-pathway lesson</x:v>
      </x:c>
      <x:c r="I127" s="44" t="str">
        <x:v>YouTube</x:v>
      </x:c>
      <x:c r="J127" s="44" t="str">
        <x:v>Creator Insider</x:v>
      </x:c>
      <x:c r="K127" s="44" t="str">
        <x:v>Tool-independent</x:v>
      </x:c>
      <x:c r="L127" s="44" t="str">
        <x:v>Free lesson</x:v>
      </x:c>
      <x:c r="M127" s="78" t="str">
        <x:v>https://www.youtube.com/watch?v=b8RT5w-QISY</x:v>
      </x:c>
      <x:c r="N127" s="78" t="str">
        <x:v>https://www.youtube.com/watch?v=b8RT5w-QISY</x:v>
      </x:c>
      <x:c r="O127" s="82" t="str">
        <x:v>Creator's lesson description reviewed</x:v>
      </x:c>
      <x:c r="P127" s="82" t="str">
        <x:v>2020 editorial advice, not a current algorithm explanation or a demonstrated retention-dashboard walkthrough.</x:v>
      </x:c>
    </x:row>
    <x:row r="128" ht="64" customHeight="1">
      <x:c r="A128" s="56" t="str">
        <x:v>Intermediate</x:v>
      </x:c>
      <x:c r="B128" s="98"/>
      <x:c r="C128" s="98"/>
      <x:c r="D128" s="74" t="str">
        <x:v>YouTube: aligning the script with the video's promise</x:v>
      </x:c>
      <x:c r="E128" s="70" t="str">
        <x:f>IFERROR(HYPERLINK(M128,"How to Write a Script for a YouTube Video
(Made Easy!)"),"How to Write a Script for a YouTube Video
(Made Easy!)")</x:f>
        <x:v>How to Write a Script for a YouTube Video
(Made Easy!)</x:v>
      </x:c>
      <x:c r="F128" s="44" t="str">
        <x:v>Simple scripting method; no chapter markers verified</x:v>
      </x:c>
      <x:c r="G128" s="44" t="str">
        <x:v>Use the script method to structure the tutorial before filming. Check that every section helps fulfil the opening promise.</x:v>
      </x:c>
      <x:c r="H128" s="44" t="str">
        <x:v>Selected-pathway lesson</x:v>
      </x:c>
      <x:c r="I128" s="44" t="str">
        <x:v>YouTube</x:v>
      </x:c>
      <x:c r="J128" s="44" t="str">
        <x:v>Think Media</x:v>
      </x:c>
      <x:c r="K128" s="44" t="str">
        <x:v>Tool-independent</x:v>
      </x:c>
      <x:c r="L128" s="44" t="str">
        <x:v>Free lesson</x:v>
      </x:c>
      <x:c r="M128" s="78" t="str">
        <x:v>https://www.youtube.com/watch?v=8s0i1LutAc4</x:v>
      </x:c>
      <x:c r="N128" s="78" t="str">
        <x:v>https://www.youtube.com/watch?v=8s0i1LutAc4</x:v>
      </x:c>
      <x:c r="O128" s="82" t="str">
        <x:v>Creator's lesson description reviewed</x:v>
      </x:c>
      <x:c r="P128" s="82" t="str">
        <x:v>Contains course promotion. A scripting approach, not a guarantee of views or channel growth.</x:v>
      </x:c>
    </x:row>
    <x:row r="129" ht="72" customHeight="1">
      <x:c r="A129" s="56" t="str">
        <x:v>Intermediate</x:v>
      </x:c>
      <x:c r="B129" s="98"/>
      <x:c r="C129" s="98"/>
      <x:c r="D129" s="74" t="str">
        <x:v>Travel: preparation, lightweight gear and micro-sequence coverage</x:v>
      </x:c>
      <x:c r="E129" s="70" t="str">
        <x:f>IFERROR(HYPERLINK(M129,"How to Make Travel Videos for Beginners —
Storytelling Explained"),"How to Make Travel Videos for Beginners —
Storytelling Explained")</x:f>
        <x:v>How to Make Travel Videos for Beginners —
Storytelling Explained</x:v>
      </x:c>
      <x:c r="F129" s="44" t="str">
        <x:v>02:35 planning; 08:39 micro-sequences; 10:25 travel light</x:v>
      </x:c>
      <x:c r="G129" s="44" t="str">
        <x:v>The verified chapters teach planning and collecting usable sequences. Build a local shooting plan and avoid treating this as story-theory instruction.</x:v>
      </x:c>
      <x:c r="H129" s="44" t="str">
        <x:v>Selected-pathway lesson</x:v>
      </x:c>
      <x:c r="I129" s="44" t="str">
        <x:v>Travel</x:v>
      </x:c>
      <x:c r="J129" s="44" t="str">
        <x:v>Jake Rich and Anna Chah</x:v>
      </x:c>
      <x:c r="K129" s="44" t="str">
        <x:v>Tool-independent</x:v>
      </x:c>
      <x:c r="L129" s="44" t="str">
        <x:v>Free lesson</x:v>
      </x:c>
      <x:c r="M129" s="78" t="str">
        <x:v>https://www.youtube.com/watch?v=kJOyhNL52M4</x:v>
      </x:c>
      <x:c r="N129" s="78" t="str">
        <x:v>https://www.youtube.com/watch?v=kJOyhNL52M4</x:v>
      </x:c>
      <x:c r="O129" s="82" t="str">
        <x:v>Creator description and chapter list reviewed</x:v>
      </x:c>
      <x:c r="P129" s="82" t="str">
        <x:v>Travel planning/capture lesson, not a general visual-storytelling lesson; sponsored content.</x:v>
      </x:c>
    </x:row>
    <x:row r="130" ht="64" customHeight="1">
      <x:c r="A130" s="56" t="str">
        <x:v>Intermediate</x:v>
      </x:c>
      <x:c r="B130" s="98"/>
      <x:c r="C130" s="98"/>
      <x:c r="D130" s="74" t="str">
        <x:v>Travel: turning place footage into an image-led story</x:v>
      </x:c>
      <x:c r="E130" s="70" t="str">
        <x:f>IFERROR(HYPERLINK(M130,"Visual Storytelling in Filmmaking"),"Visual Storytelling in Filmmaking")</x:f>
        <x:v>Visual Storytelling in Filmmaking</x:v>
      </x:c>
      <x:c r="F130" s="44" t="str">
        <x:v>Whole focused lesson; no chapter markers verified</x:v>
      </x:c>
      <x:c r="G130" s="44" t="str">
        <x:v>The visual-storytelling method supports choosing images that communicate more than scenery. Apply it to the place-based film's central idea.</x:v>
      </x:c>
      <x:c r="H130" s="44" t="str">
        <x:v>Transferable storytelling method</x:v>
      </x:c>
      <x:c r="I130" s="44" t="str">
        <x:v>Travel</x:v>
      </x:c>
      <x:c r="J130" s="44" t="str">
        <x:v>DSLRguide / Simon Cade</x:v>
      </x:c>
      <x:c r="K130" s="44" t="str">
        <x:v>Tool-independent</x:v>
      </x:c>
      <x:c r="L130" s="44" t="str">
        <x:v>Free lesson</x:v>
      </x:c>
      <x:c r="M130" s="78" t="str">
        <x:v>https://www.youtube.com/watch?v=4X5xvlTZpcY</x:v>
      </x:c>
      <x:c r="N130" s="78" t="str">
        <x:v>https://vimeo.com/127744356</x:v>
      </x:c>
      <x:c r="O130" s="82" t="str">
        <x:v>Creator's video description reviewed</x:v>
      </x:c>
      <x:c r="P130" s="82" t="str">
        <x:v>Not a travel-logistics tutorial; this row supplies the storytelling skill separately.</x:v>
      </x:c>
    </x:row>
    <x:row r="131" ht="64" customHeight="1">
      <x:c r="A131" s="56" t="str">
        <x:v>Intermediate</x:v>
      </x:c>
      <x:c r="B131" s="98"/>
      <x:c r="C131" s="98"/>
      <x:c r="D131" s="74" t="str">
        <x:v>Advertising: communicating the proposed commercial approach</x:v>
      </x:c>
      <x:c r="E131" s="70" t="str">
        <x:f>IFERROR(HYPERLINK(M131,"How To Write A Director's Treatment (FAST)?"),"How To Write A Director's Treatment (FAST)?")</x:f>
        <x:v>How To Write A Director's Treatment (FAST)?</x:v>
      </x:c>
      <x:c r="F131" s="44" t="str">
        <x:v>08:34–30:19: what to write in a director's treatment</x:v>
      </x:c>
      <x:c r="G131" s="44" t="str">
        <x:v>The treatment-writing section supports a purposeful concept and visual plan. Explain how the chosen approach presents the product benefit.</x:v>
      </x:c>
      <x:c r="H131" s="44" t="str">
        <x:v>Selected-pathway lesson</x:v>
      </x:c>
      <x:c r="I131" s="44" t="str">
        <x:v>Advertising</x:v>
      </x:c>
      <x:c r="J131" s="44" t="str">
        <x:v>Robin Piree</x:v>
      </x:c>
      <x:c r="K131" s="44" t="str">
        <x:v>Tool-independent</x:v>
      </x:c>
      <x:c r="L131" s="44" t="str">
        <x:v>Free lesson</x:v>
      </x:c>
      <x:c r="M131" s="78" t="str">
        <x:v>https://www.youtube.com/watch?v=ennTIMMYYXg</x:v>
      </x:c>
      <x:c r="N131" s="78" t="str">
        <x:v>https://www.youtube.com/watch?v=ennTIMMYYXg</x:v>
      </x:c>
      <x:c r="O131" s="82" t="str">
        <x:v>Creator description and published topics reviewed</x:v>
      </x:c>
      <x:c r="P131" s="82" t="str">
        <x:v>Practise the named skill; the video is not evidence of independent competence.</x:v>
      </x:c>
    </x:row>
    <x:row r="132" ht="64" customHeight="1">
      <x:c r="A132" s="56" t="str">
        <x:v>Intermediate</x:v>
      </x:c>
      <x:c r="B132" s="98"/>
      <x:c r="C132" s="98"/>
      <x:c r="D132" s="74" t="str">
        <x:v>Advertising: shaping reflections and revealing a product</x:v>
      </x:c>
      <x:c r="E132" s="70" t="str">
        <x:f>IFERROR(HYPERLINK(M132,"Product Lighting — Commercial
Cinematography 101"),"Product Lighting — Commercial
Cinematography 101")</x:f>
        <x:v>Product Lighting — Commercial
Cinematography 101</x:v>
      </x:c>
      <x:c r="F132" s="44" t="str">
        <x:v>Reflective bottle lighting; source shape; camera/light movement</x:v>
      </x:c>
      <x:c r="G132" s="44" t="str">
        <x:v>The commercial lighting demonstration teaches source shape and reveal decisions. Produce a controlled product shot that remains readable.</x:v>
      </x:c>
      <x:c r="H132" s="44" t="str">
        <x:v>Selected-pathway lesson</x:v>
      </x:c>
      <x:c r="I132" s="44" t="str">
        <x:v>Advertising</x:v>
      </x:c>
      <x:c r="J132" s="44" t="str">
        <x:v>Aputure</x:v>
      </x:c>
      <x:c r="K132" s="44" t="str">
        <x:v>Tool-independent</x:v>
      </x:c>
      <x:c r="L132" s="44" t="str">
        <x:v>Free lesson</x:v>
      </x:c>
      <x:c r="M132" s="78" t="str">
        <x:v>https://www.youtube.com/watch?v=kjv-n7CeBNY</x:v>
      </x:c>
      <x:c r="N132" s="78" t="str">
        <x:v>https://www.youtube.com/watch?v=kjv-n7CeBNY</x:v>
      </x:c>
      <x:c r="O132" s="82" t="str">
        <x:v>Creator's detailed lesson description reviewed</x:v>
      </x:c>
      <x:c r="P132" s="82" t="str">
        <x:v>Uses a beer-bottle example; practise the lighting technique on a non-alcohol product. Not a creative-strategy or budgeting lesson.</x:v>
      </x:c>
    </x:row>
    <x:row r="133" ht="100" customHeight="1">
      <x:c r="A133" s="123" t="str">
        <x:v>Intermediate</x:v>
      </x:c>
      <x:c r="B133" s="124" t="str">
        <x:v>I-PS
Client Discovery, Concept Pitching, Marketing and Sales</x:v>
      </x:c>
      <x:c r="C133" s="124"/>
      <x:c r="D133" s="118" t="str">
        <x:v>Consultative selling and client discovery</x:v>
      </x:c>
      <x:c r="E133" s="119" t="str">
        <x:f>IFERROR(HYPERLINK(M133,"Ask Questions to Diagnose the Problem Instead of Selling"),"Ask Questions to Diagnose the Problem Instead of Selling")</x:f>
        <x:v>Ask Questions to Diagnose the Problem Instead of Selling</x:v>
      </x:c>
      <x:c r="F133" s="120" t="str">
        <x:v>Whole lesson; chapter timestamps not verified</x:v>
      </x:c>
      <x:c r="G133" s="120" t="str">
        <x:v>Investigate a request for a promotional video and establish the actual audience, problem and intended outcome.</x:v>
      </x:c>
      <x:c r="H133" s="120" t="str">
        <x:v>Professional skills lesson (I1)</x:v>
      </x:c>
      <x:c r="I133" s="120" t="str">
        <x:v>All genres</x:v>
      </x:c>
      <x:c r="J133" s="120" t="str">
        <x:v>Chris Do / The Futur</x:v>
      </x:c>
      <x:c r="K133" s="120" t="str">
        <x:v>Tool-independent</x:v>
      </x:c>
      <x:c r="L133" s="120" t="str">
        <x:v>Free YouTube video</x:v>
      </x:c>
      <x:c r="M133" s="121" t="str">
        <x:v>https://www.youtube.com/watch?v=-GtoKCIX_7c</x:v>
      </x:c>
      <x:c r="N133" s="121" t="str">
        <x:v>https://thefutur.com/content/ask-questions-to-diagnose-the-problem-instead-of-selling-role-play</x:v>
      </x:c>
      <x:c r="O133" s="122" t="str">
        <x:v>Approved selection. Publisher/description review; not full playback. Learner comments unverified.</x:v>
      </x:c>
      <x:c r="P133" s="122" t="str">
        <x:v>Creative-services role-play. Apply the discovery approach to a video brief.</x:v>
      </x:c>
    </x:row>
    <x:row r="134" ht="100" customHeight="1">
      <x:c r="A134" s="123" t="str">
        <x:v>Intermediate</x:v>
      </x:c>
      <x:c r="B134" s="124"/>
      <x:c r="C134" s="124"/>
      <x:c r="D134" s="118" t="str">
        <x:v>Selling a concept through a treatment</x:v>
      </x:c>
      <x:c r="E134" s="119" t="str">
        <x:f>IFERROR(HYPERLINK(M134,"Director’s Treatment: The Ultimate Guide to a Winning Pitch"),"Director’s Treatment: The Ultimate Guide to a Winning Pitch")</x:f>
        <x:v>Director’s Treatment: The Ultimate Guide to a Winning Pitch</x:v>
      </x:c>
      <x:c r="F134" s="120" t="str">
        <x:v>Whole lesson; chapter timestamps not verified</x:v>
      </x:c>
      <x:c r="G134" s="120" t="str">
        <x:v>Create a treatment showing the idea, visual approach, tone and why it suits the brief.</x:v>
      </x:c>
      <x:c r="H134" s="120" t="str">
        <x:v>Professional skills lesson (I2)</x:v>
      </x:c>
      <x:c r="I134" s="120" t="str">
        <x:v>All genres</x:v>
      </x:c>
      <x:c r="J134" s="120" t="str">
        <x:v>Nur Niaz</x:v>
      </x:c>
      <x:c r="K134" s="120" t="str">
        <x:v>Tool-independent</x:v>
      </x:c>
      <x:c r="L134" s="120" t="str">
        <x:v>Free YouTube video</x:v>
      </x:c>
      <x:c r="M134" s="121" t="str">
        <x:v>https://www.youtube.com/watch?v=SCi4tj0D10E</x:v>
      </x:c>
      <x:c r="N134" s="121" t="str">
        <x:v>https://www.filmskool.online/lesson/producing-director-s-treatment-the-ultimate-guide-to-a-winning-pitch</x:v>
      </x:c>
      <x:c r="O134" s="122" t="str">
        <x:v>Approved selection. Publisher/description review; not full playback. Learner comments unverified.</x:v>
      </x:c>
      <x:c r="P134" s="122" t="str">
        <x:v>Commercial and brand-film treatment lesson. Adapt the treatment to the audience and commission.</x:v>
      </x:c>
    </x:row>
    <x:row r="135" ht="100" customHeight="1">
      <x:c r="A135" s="123" t="str">
        <x:v>Intermediate</x:v>
      </x:c>
      <x:c r="B135" s="124"/>
      <x:c r="C135" s="124"/>
      <x:c r="D135" s="118" t="str">
        <x:v>Handling revisions and protecting relationships</x:v>
      </x:c>
      <x:c r="E135" s="119" t="str">
        <x:f>IFERROR(HYPERLINK(M135,"How to Deal with Client Revisions"),"How to Deal with Client Revisions")</x:f>
        <x:v>How to Deal with Client Revisions</x:v>
      </x:c>
      <x:c r="F135" s="120" t="str">
        <x:v>Whole lesson; chapter timestamps not verified</x:v>
      </x:c>
      <x:c r="G135" s="120" t="str">
        <x:v>Respond to conflicting edit notes, clarify the underlying concern and propose an agreed revision plan.</x:v>
      </x:c>
      <x:c r="H135" s="120" t="str">
        <x:v>Professional skills lesson (I3)</x:v>
      </x:c>
      <x:c r="I135" s="120" t="str">
        <x:v>All genres</x:v>
      </x:c>
      <x:c r="J135" s="120" t="str">
        <x:v>Scott McKenna</x:v>
      </x:c>
      <x:c r="K135" s="120" t="str">
        <x:v>Tool-independent</x:v>
      </x:c>
      <x:c r="L135" s="120" t="str">
        <x:v>Free YouTube video</x:v>
      </x:c>
      <x:c r="M135" s="121" t="str">
        <x:v>https://www.youtube.com/watch?v=o50iTphVPus</x:v>
      </x:c>
      <x:c r="N135" s="121" t="str">
        <x:v>https://www.filmskool.online/lesson/producing-how-to-deal-with-client-revisions</x:v>
      </x:c>
      <x:c r="O135" s="122" t="str">
        <x:v>Approved selection. Publisher/description review; not full playback. Learner comments unverified.</x:v>
      </x:c>
      <x:c r="P135" s="122" t="str">
        <x:v>Focus on interpreting notes and maintaining the working relationship.</x:v>
      </x:c>
    </x:row>
    <x:row r="136" ht="100" customHeight="1">
      <x:c r="A136" s="123" t="str">
        <x:v>Intermediate</x:v>
      </x:c>
      <x:c r="B136" s="124"/>
      <x:c r="C136" s="124"/>
      <x:c r="D136" s="118" t="str">
        <x:v>Discussing price and handling a sales conversation</x:v>
      </x:c>
      <x:c r="E136" s="119" t="str">
        <x:f>IFERROR(HYPERLINK(M136,"How to Say Your Price — Sales Roleplay"),"How to Say Your Price — Sales Roleplay")</x:f>
        <x:v>How to Say Your Price — Sales Roleplay</x:v>
      </x:c>
      <x:c r="F136" s="120" t="str">
        <x:v>Whole lesson; chapter timestamps not verified</x:v>
      </x:c>
      <x:c r="G136" s="120" t="str">
        <x:v>Present a video proposal and practise explaining its price, scope and assumptions.</x:v>
      </x:c>
      <x:c r="H136" s="120" t="str">
        <x:v>Professional skills lesson (I4)</x:v>
      </x:c>
      <x:c r="I136" s="120" t="str">
        <x:v>All genres</x:v>
      </x:c>
      <x:c r="J136" s="120" t="str">
        <x:v>Chris Do / The Futur</x:v>
      </x:c>
      <x:c r="K136" s="120" t="str">
        <x:v>Tool-independent</x:v>
      </x:c>
      <x:c r="L136" s="120" t="str">
        <x:v>Free YouTube video</x:v>
      </x:c>
      <x:c r="M136" s="121" t="str">
        <x:v>https://www.youtube.com/watch?v=dFgqqc9h9AY</x:v>
      </x:c>
      <x:c r="N136" s="121" t="str">
        <x:v>https://thefutur.com/watch/how-to-say-your-price-sales-roleplay</x:v>
      </x:c>
      <x:c r="O136" s="122" t="str">
        <x:v>Approved selection. Publisher/description review; not full playback. Learner comments unverified.</x:v>
      </x:c>
      <x:c r="P136" s="122" t="str">
        <x:v>Role-play uses branding services. Adapt the conversation to video deliverables and production costs.</x:v>
      </x:c>
    </x:row>
    <x:row r="137" ht="100" customHeight="1">
      <x:c r="A137" s="123" t="str">
        <x:v>Intermediate</x:v>
      </x:c>
      <x:c r="B137" s="124"/>
      <x:c r="C137" s="124"/>
      <x:c r="D137" s="118" t="str">
        <x:v>Building a practical marketing plan</x:v>
      </x:c>
      <x:c r="E137" s="119" t="str">
        <x:f>IFERROR(HYPERLINK(M137,"Copy This 5 Step System to Write the Perfect Marketing Plan"),"Copy This 5 Step System to Write the Perfect Marketing Plan")</x:f>
        <x:v>Copy This 5 Step System to Write the Perfect Marketing Plan</x:v>
      </x:c>
      <x:c r="F137" s="120" t="str">
        <x:v>Whole lesson; chapter timestamps not verified</x:v>
      </x:c>
      <x:c r="G137" s="120" t="str">
        <x:v>Build a 30-day marketing plan for your video services or an internal video campaign.</x:v>
      </x:c>
      <x:c r="H137" s="120" t="str">
        <x:v>Professional skills lesson (I5)</x:v>
      </x:c>
      <x:c r="I137" s="120" t="str">
        <x:v>All genres</x:v>
      </x:c>
      <x:c r="J137" s="120" t="str">
        <x:v>HubSpot Marketing</x:v>
      </x:c>
      <x:c r="K137" s="120" t="str">
        <x:v>Tool-independent</x:v>
      </x:c>
      <x:c r="L137" s="120" t="str">
        <x:v>Free YouTube video</x:v>
      </x:c>
      <x:c r="M137" s="121" t="str">
        <x:v>https://www.youtube.com/watch?v=lDdTW0o7N6Q</x:v>
      </x:c>
      <x:c r="N137" s="121" t="str">
        <x:v>https://www.youtube.com/watch?v=lDdTW0o7N6Q</x:v>
      </x:c>
      <x:c r="O137" s="122" t="str">
        <x:v>Approved selection. Publisher/description review; not full playback. Learner comments unverified.</x:v>
      </x:c>
      <x:c r="P137" s="122" t="str">
        <x:v>Module assessment: discovery call, treatment, proposal presentation and simulated revision meeting.</x:v>
      </x:c>
    </x:row>
    <x:row r="138" ht="64" customHeight="1">
      <x:c r="A138" s="56" t="str">
        <x:v>Intermediate</x:v>
      </x:c>
      <x:c r="B138" s="98" t="str">
        <x:v>I14
Independent intermediate capstone</x:v>
      </x:c>
      <x:c r="C138" s="98"/>
      <x:c r="D138" s="75" t="str">
        <x:v>Development phase: agreeing purpose and deliverables</x:v>
      </x:c>
      <x:c r="E138" s="71" t="str">
        <x:f>IFERROR(HYPERLINK(M138,"What Is a Creative Brief? How to Write One
That Aligns Your Team"),"What Is a Creative Brief? How to Write One
That Aligns Your Team")</x:f>
        <x:v>What Is a Creative Brief? How to Write One
That Aligns Your Team</x:v>
      </x:c>
      <x:c r="F138" s="52" t="str">
        <x:v>00:39–02:07: objectives, audience, deliverables and scope</x:v>
      </x:c>
      <x:c r="G138" s="52" t="str">
        <x:v>Use the briefing framework to clarify the new commission. Record what the video must achieve before choosing a treatment.</x:v>
      </x:c>
      <x:c r="H138" s="52" t="str">
        <x:v>Capstone phase support</x:v>
      </x:c>
      <x:c r="I138" s="52" t="str">
        <x:v>All genres</x:v>
      </x:c>
      <x:c r="J138" s="52" t="str">
        <x:v>Ziflow</x:v>
      </x:c>
      <x:c r="K138" s="52" t="str">
        <x:v>Tool-independent</x:v>
      </x:c>
      <x:c r="L138" s="52" t="str">
        <x:v>Free lesson</x:v>
      </x:c>
      <x:c r="M138" s="79" t="str">
        <x:v>https://www.youtube.com/watch?v=ViDQfqfxWdQ</x:v>
      </x:c>
      <x:c r="N138" s="79" t="str">
        <x:v>https://www.youtube.com/watch?v=ViDQfqfxWdQ</x:v>
      </x:c>
      <x:c r="O138" s="83" t="str">
        <x:v>Creator description and published topics reviewed</x:v>
      </x:c>
      <x:c r="P138" s="83" t="str">
        <x:v>Practise the named skill; the video is not evidence of independent competence.</x:v>
      </x:c>
    </x:row>
    <x:row r="139" ht="64" customHeight="1">
      <x:c r="A139" s="56" t="str">
        <x:v>Intermediate</x:v>
      </x:c>
      <x:c r="B139" s="98"/>
      <x:c r="C139" s="98"/>
      <x:c r="D139" s="75" t="str">
        <x:v>Planning phase: testing the principal location</x:v>
      </x:c>
      <x:c r="E139" s="71" t="str">
        <x:f>IFERROR(HYPERLINK(M139,"Location Scouting Explained — with Tech
Scout Checklist"),"Location Scouting Explained — with Tech
Scout Checklist")</x:f>
        <x:v>Location Scouting Explained — with Tech
Scout Checklist</x:v>
      </x:c>
      <x:c r="F139" s="52" t="str">
        <x:v>Technical scout: light, sound, electrical supply and practical access</x:v>
      </x:c>
      <x:c r="G139" s="52" t="str">
        <x:v>Apply the technical scout to the actual shoot. Turn sound, light, power and access findings into a feasible plan.</x:v>
      </x:c>
      <x:c r="H139" s="52" t="str">
        <x:v>Capstone phase support</x:v>
      </x:c>
      <x:c r="I139" s="52" t="str">
        <x:v>All genres</x:v>
      </x:c>
      <x:c r="J139" s="52" t="str">
        <x:v>StudioBinder</x:v>
      </x:c>
      <x:c r="K139" s="52" t="str">
        <x:v>Tool-independent</x:v>
      </x:c>
      <x:c r="L139" s="52" t="str">
        <x:v>Free lesson</x:v>
      </x:c>
      <x:c r="M139" s="79" t="str">
        <x:v>https://www.youtube.com/watch?v=0dfsxW0BrXQ</x:v>
      </x:c>
      <x:c r="N139" s="79" t="str">
        <x:v>https://www.youtube.com/watch?v=0dfsxW0BrXQ</x:v>
      </x:c>
      <x:c r="O139" s="83" t="str">
        <x:v>Creator description and published topics reviewed</x:v>
      </x:c>
      <x:c r="P139" s="83" t="str">
        <x:v>Practise the named skill; the video is not evidence of independent competence.</x:v>
      </x:c>
    </x:row>
    <x:row r="140" ht="64" customHeight="1">
      <x:c r="A140" s="56" t="str">
        <x:v>Intermediate</x:v>
      </x:c>
      <x:c r="B140" s="98"/>
      <x:c r="C140" s="98"/>
      <x:c r="D140" s="75" t="str">
        <x:v>Edit phase: diagnosing and revising pacing</x:v>
      </x:c>
      <x:c r="E140" s="71" t="str">
        <x:f>IFERROR(HYPERLINK(M140,"Pacing in Film Editing — Techniques Every
High-End Editor Must Know"),"Pacing in Film Editing — Techniques Every
High-End Editor Must Know")</x:f>
        <x:v>Pacing in Film Editing — Techniques Every
High-End Editor Must Know</x:v>
      </x:c>
      <x:c r="F140" s="52" t="str">
        <x:v>02:09 tempo variation; 04:00 why change pace; 09:16 pacing factors; 11:46 practice</x:v>
      </x:c>
      <x:c r="G140" s="52" t="str">
        <x:v>Use the pacing examples to identify a weakness in the rough cut. Record the change and explain why it improves the intended experience.</x:v>
      </x:c>
      <x:c r="H140" s="52" t="str">
        <x:v>Capstone phase support</x:v>
      </x:c>
      <x:c r="I140" s="52" t="str">
        <x:v>All genres</x:v>
      </x:c>
      <x:c r="J140" s="52" t="str">
        <x:v>Inside The Edit</x:v>
      </x:c>
      <x:c r="K140" s="52" t="str">
        <x:v>Tool-independent</x:v>
      </x:c>
      <x:c r="L140" s="52" t="str">
        <x:v>Free lesson</x:v>
      </x:c>
      <x:c r="M140" s="79" t="str">
        <x:v>https://www.youtube.com/watch?v=CdyTIng0M8Q</x:v>
      </x:c>
      <x:c r="N140" s="79" t="str">
        <x:v>https://www.youtube.com/watch?v=CdyTIng0M8Q</x:v>
      </x:c>
      <x:c r="O140" s="83" t="str">
        <x:v>Creator description and chapter list reviewed</x:v>
      </x:c>
      <x:c r="P140" s="83" t="str">
        <x:v>Practise the named skill; the video is not evidence of independent competence.</x:v>
      </x:c>
    </x:row>
    <x:row r="141" ht="64" customHeight="1">
      <x:c r="A141" s="56" t="str">
        <x:v>Intermediate</x:v>
      </x:c>
      <x:c r="B141" s="98"/>
      <x:c r="C141" s="98"/>
      <x:c r="D141" s="75" t="str">
        <x:v>Review phase: collecting actionable feedback</x:v>
      </x:c>
      <x:c r="E141" s="71" t="str">
        <x:f>IFERROR(HYPERLINK(M141,"Enhance your review process with Frame.io"),"Enhance your review process with Frame.io")</x:f>
        <x:v>Enhance your review process with Frame.io</x:v>
      </x:c>
      <x:c r="F141" s="52" t="str">
        <x:v>00:30 upload; timecoded feedback; new-version workflow</x:v>
      </x:c>
      <x:c r="G141" s="52" t="str">
        <x:v>Use timecoded comments and versioning for the required review round. Keep a readable change record with the project.</x:v>
      </x:c>
      <x:c r="H141" s="52" t="str">
        <x:v>Capstone phase support</x:v>
      </x:c>
      <x:c r="I141" s="52" t="str">
        <x:v>All genres</x:v>
      </x:c>
      <x:c r="J141" s="52" t="str">
        <x:v>Adobe / Sarah John</x:v>
      </x:c>
      <x:c r="K141" s="52" t="str">
        <x:v>Premiere / Frame.io</x:v>
      </x:c>
      <x:c r="L141" s="52" t="str">
        <x:v>Free lesson</x:v>
      </x:c>
      <x:c r="M141" s="79" t="str">
        <x:v>https://www.adobe.com/learn/premiere-pro/web/team-review-with-frame-io</x:v>
      </x:c>
      <x:c r="N141" s="79" t="str">
        <x:v>https://www.adobe.com/learn/premiere-pro/web/team-review-with-frame-io</x:v>
      </x:c>
      <x:c r="O141" s="83" t="str">
        <x:v>Publisher video transcript reviewed</x:v>
      </x:c>
      <x:c r="P141" s="83" t="str">
        <x:v>Legacy/V4 panel locations differ. Teaches review mechanics, not creative-note judgement.</x:v>
      </x:c>
    </x:row>
    <x:row r="142" ht="64" customHeight="1">
      <x:c r="A142" s="56" t="str">
        <x:v>Intermediate</x:v>
      </x:c>
      <x:c r="B142" s="98"/>
      <x:c r="C142" s="98"/>
      <x:c r="D142" s="75" t="str">
        <x:v>Delivery phase: checking the master and alternate</x:v>
      </x:c>
      <x:c r="E142" s="71" t="str">
        <x:f>IFERROR(HYPERLINK(M142,"Exporting &amp; delivering projects"),"Exporting &amp; delivering projects")</x:f>
        <x:v>Exporting &amp; delivering projects</x:v>
      </x:c>
      <x:c r="F142" s="52" t="str">
        <x:v>Whole focused lesson; no chapter markers verified</x:v>
      </x:c>
      <x:c r="G142" s="52" t="str">
        <x:v>Use the export lesson against the actual brief. Verify each finished version rather than assuming a preset guarantees compliance.</x:v>
      </x:c>
      <x:c r="H142" s="52" t="str">
        <x:v>Capstone phase support</x:v>
      </x:c>
      <x:c r="I142" s="52" t="str">
        <x:v>All genres</x:v>
      </x:c>
      <x:c r="J142" s="52" t="str">
        <x:v>Adobe Video Training</x:v>
      </x:c>
      <x:c r="K142" s="52" t="str">
        <x:v>Premiere Pro</x:v>
      </x:c>
      <x:c r="L142" s="52" t="str">
        <x:v>Free lesson</x:v>
      </x:c>
      <x:c r="M142" s="79" t="str">
        <x:v>https://adobevideotraining.com/video/exporting-delivering-projects/</x:v>
      </x:c>
      <x:c r="N142" s="79" t="str">
        <x:v>https://adobevideotraining.com/video/exporting-delivering-projects/</x:v>
      </x:c>
      <x:c r="O142" s="83" t="str">
        <x:v>Publisher video description/syllabus reviewed; not full playback</x:v>
      </x:c>
      <x:c r="P142" s="83" t="str">
        <x:v>Use the installed-version controls. The publisher synopsis was reviewed; full playback was not audited.</x:v>
      </x:c>
    </x:row>
    <x:row r="143" ht="96" customHeight="1">
      <x:c r="A143" s="112" t="str">
        <x:v>Intermediate</x:v>
      </x:c>
      <x:c r="B143" s="113"/>
      <x:c r="C143" s="113"/>
      <x:c r="D143" s="107" t="str">
        <x:v>Planning AI assistance within a real film project</x:v>
      </x:c>
      <x:c r="E143" s="108" t="str">
        <x:f>IFERROR(HYPERLINK(M143,"How I Use AI to Make a REAL Film (Full Tutorial)"),"How I Use AI to Make a REAL Film (Full Tutorial)")</x:f>
        <x:v>How I Use AI to Make a REAL Film (Full Tutorial)</x:v>
      </x:c>
      <x:c r="F143" s="109" t="str">
        <x:v>Whole focused tutorial / case study; chapter timestamps not verified</x:v>
      </x:c>
      <x:c r="G143" s="109" t="str">
        <x:v>Apply the case study to the capstone. Explain which tasks use AI and how the outputs integrate with filmed material.</x:v>
      </x:c>
      <x:c r="H143" s="109" t="str">
        <x:v>AI hybrid lesson (I-AI02)</x:v>
      </x:c>
      <x:c r="I143" s="109" t="str">
        <x:v>All genres</x:v>
      </x:c>
      <x:c r="J143" s="109" t="str">
        <x:v>Alex Zarfati</x:v>
      </x:c>
      <x:c r="K143" s="109" t="str">
        <x:v>LTX Studio and editing software</x:v>
      </x:c>
      <x:c r="L143" s="109" t="str">
        <x:v>Free YouTube video; tool access may be paid</x:v>
      </x:c>
      <x:c r="M143" s="110" t="str">
        <x:v>https://www.youtube.com/watch?v=vSmgfRfqK_s</x:v>
      </x:c>
      <x:c r="N143" s="110" t="str">
        <x:v>https://www.youtube.com/watch?v=vSmgfRfqK_s</x:v>
      </x:c>
      <x:c r="O143" s="111" t="str">
        <x:v>Description / publisher references reviewed; learner comments and counts unverified</x:v>
      </x:c>
      <x:c r="P143" s="111" t="str">
        <x:v>Hybrid case study. Focus on production decisions and integration, not standalone generation.</x:v>
      </x:c>
    </x:row>
    <x:row r="144" ht="96" customHeight="1">
      <x:c r="A144" s="112" t="str">
        <x:v>Intermediate</x:v>
      </x:c>
      <x:c r="B144" s="113"/>
      <x:c r="C144" s="113"/>
      <x:c r="D144" s="107" t="str">
        <x:v>Combining filmed footage with AI-assisted shots</x:v>
      </x:c>
      <x:c r="E144" s="108" t="str">
        <x:f>IFERROR(HYPERLINK(M144,"AI Filmmaking Tutorial (Mixed with Real Shot Footage)"),"AI Filmmaking Tutorial (Mixed with Real Shot Footage)")</x:f>
        <x:v>AI Filmmaking Tutorial (Mixed with Real Shot Footage)</x:v>
      </x:c>
      <x:c r="F144" s="109" t="str">
        <x:v>Whole focused tutorial / case study; chapter timestamps not verified</x:v>
      </x:c>
      <x:c r="G144" s="109" t="str">
        <x:v>Plan a short sequence around real footage and assess how supplementary shots fit its story, continuity and visual finish.</x:v>
      </x:c>
      <x:c r="H144" s="109" t="str">
        <x:v>AI hybrid lesson (I-AI03)</x:v>
      </x:c>
      <x:c r="I144" s="109" t="str">
        <x:v>All genres</x:v>
      </x:c>
      <x:c r="J144" s="109" t="str">
        <x:v>Blake Ridder</x:v>
      </x:c>
      <x:c r="K144" s="109" t="str">
        <x:v>Camera, AI tools and editing software</x:v>
      </x:c>
      <x:c r="L144" s="109" t="str">
        <x:v>Free YouTube video; tool access may be paid</x:v>
      </x:c>
      <x:c r="M144" s="110" t="str">
        <x:v>https://www.youtube.com/watch?v=Sd0Wr14PXPc</x:v>
      </x:c>
      <x:c r="N144" s="110" t="str">
        <x:v>https://www.youtube.com/watch?v=Sd0Wr14PXPc</x:v>
      </x:c>
      <x:c r="O144" s="111" t="str">
        <x:v>Description / publisher references reviewed; learner comments and counts unverified</x:v>
      </x:c>
      <x:c r="P144" s="111" t="str">
        <x:v>Includes generative sections. Teach live-action integration and finishing.</x:v>
      </x:c>
    </x:row>
    <x:row r="145" ht="64" customHeight="1">
      <x:c r="A145" s="66" t="str">
        <x:v>Advanced</x:v>
      </x:c>
      <x:c r="B145" s="103" t="str">
        <x:v>A01
Creative direction, audience and point of view</x:v>
      </x:c>
      <x:c r="C145" s="103"/>
      <x:c r="D145" s="74" t="str">
        <x:v>Developing an intentional visual style</x:v>
      </x:c>
      <x:c r="E145" s="70" t="str">
        <x:f>IFERROR(HYPERLINK(M145,"Cinematic Film Composition — Blocking,
Staging &amp; Composition"),"Cinematic Film Composition — Blocking,
Staging &amp; Composition")</x:f>
        <x:v>Cinematic Film Composition — Blocking,
Staging &amp; Composition</x:v>
      </x:c>
      <x:c r="F145" s="44" t="str">
        <x:v>02:47 framing choices; 05:45 photographic references</x:v>
      </x:c>
      <x:c r="G145" s="44" t="str">
        <x:v>The framing and reference sections connect composition to the film's point of view. Defend a visual approach using specific frame choices.</x:v>
      </x:c>
      <x:c r="H145" s="44" t="str">
        <x:v>Core lesson</x:v>
      </x:c>
      <x:c r="I145" s="44" t="str">
        <x:v>All genres</x:v>
      </x:c>
      <x:c r="J145" s="44" t="str">
        <x:v>StudioBinder</x:v>
      </x:c>
      <x:c r="K145" s="44" t="str">
        <x:v>Tool-independent</x:v>
      </x:c>
      <x:c r="L145" s="44" t="str">
        <x:v>Free lesson</x:v>
      </x:c>
      <x:c r="M145" s="78" t="str">
        <x:v>https://www.youtube.com/watch?v=BWgcb7uiO7c</x:v>
      </x:c>
      <x:c r="N145" s="78" t="str">
        <x:v>https://www.youtube.com/watch?v=BWgcb7uiO7c</x:v>
      </x:c>
      <x:c r="O145" s="82" t="str">
        <x:v>Creator description and chapter list reviewed</x:v>
      </x:c>
      <x:c r="P145" s="82" t="str">
        <x:v>Practise the named skill; the video is not evidence of independent competence.</x:v>
      </x:c>
    </x:row>
    <x:row r="146" ht="64" customHeight="1">
      <x:c r="A146" s="66" t="str">
        <x:v>Advanced</x:v>
      </x:c>
      <x:c r="B146" s="103"/>
      <x:c r="C146" s="103"/>
      <x:c r="D146" s="74" t="str">
        <x:v>Communicating the director's creative approach</x:v>
      </x:c>
      <x:c r="E146" s="70" t="str">
        <x:f>IFERROR(HYPERLINK(M146,"How To Write A Director's Treatment (FAST)?"),"How To Write A Director's Treatment (FAST)?")</x:f>
        <x:v>How To Write A Director's Treatment (FAST)?</x:v>
      </x:c>
      <x:c r="F146" s="44" t="str">
        <x:v>08:34–30:19: what to write in a director's treatment</x:v>
      </x:c>
      <x:c r="G146" s="44" t="str">
        <x:v>Use the treatment-writing material to articulate image, tone and execution. Present two feasible approaches rather than a reference-only moodboard.</x:v>
      </x:c>
      <x:c r="H146" s="44" t="str">
        <x:v>Core lesson</x:v>
      </x:c>
      <x:c r="I146" s="44" t="str">
        <x:v>All genres</x:v>
      </x:c>
      <x:c r="J146" s="44" t="str">
        <x:v>Robin Piree</x:v>
      </x:c>
      <x:c r="K146" s="44" t="str">
        <x:v>Tool-independent</x:v>
      </x:c>
      <x:c r="L146" s="44" t="str">
        <x:v>Free lesson</x:v>
      </x:c>
      <x:c r="M146" s="78" t="str">
        <x:v>https://www.youtube.com/watch?v=ennTIMMYYXg</x:v>
      </x:c>
      <x:c r="N146" s="78" t="str">
        <x:v>https://www.youtube.com/watch?v=ennTIMMYYXg</x:v>
      </x:c>
      <x:c r="O146" s="82" t="str">
        <x:v>Creator description and published topics reviewed</x:v>
      </x:c>
      <x:c r="P146" s="82" t="str">
        <x:v>Practise the named skill; the video is not evidence of independent competence.</x:v>
      </x:c>
    </x:row>
    <x:row r="147" ht="64" customHeight="1">
      <x:c r="A147" s="66" t="str">
        <x:v>Advanced</x:v>
      </x:c>
      <x:c r="B147" s="103"/>
      <x:c r="C147" s="103"/>
      <x:c r="D147" s="74" t="str">
        <x:v>Finding a documentary point of view</x:v>
      </x:c>
      <x:c r="E147" s="70" t="str">
        <x:f>IFERROR(HYPERLINK(M147,"Documentary: Finding and Shaping Your Story"),"Documentary: Finding and Shaping Your Story")</x:f>
        <x:v>Documentary: Finding and Shaping Your Story</x:v>
      </x:c>
      <x:c r="F147" s="44" t="str">
        <x:v>35:00 finding point of view; 1:00:00 visual style</x:v>
      </x:c>
      <x:c r="G147" s="44" t="str">
        <x:v>The named chapter directly addresses point of view. Use it as a documentary-specific alternative to the general creative-direction exercise.</x:v>
      </x:c>
      <x:c r="H147" s="44" t="str">
        <x:v>Optional paid lesson</x:v>
      </x:c>
      <x:c r="I147" s="44" t="str">
        <x:v>Documentary</x:v>
      </x:c>
      <x:c r="J147" s="44" t="str">
        <x:v>Sundance Collab / Roger Ross Williams</x:v>
      </x:c>
      <x:c r="K147" s="44" t="str">
        <x:v>Tool-independent</x:v>
      </x:c>
      <x:c r="L147" s="62" t="str">
        <x:v>Paid / subscription</x:v>
      </x:c>
      <x:c r="M147" s="78" t="str">
        <x:v>https://collab.sundance.org/catalog/Master-Class-Archive-Video-Doc-Filmmaking-Finding-and-Shaping-Your-Story-with-Roger-Ross-Williams</x:v>
      </x:c>
      <x:c r="N147" s="78" t="str">
        <x:v>https://collab.sundance.org/catalog/Master-Class-Archive-Video-Doc-Filmmaking-Finding-and-Shaping-Your-Story-with-Roger-Ross-Williams</x:v>
      </x:c>
      <x:c r="O147" s="82" t="str">
        <x:v>Publisher syllabus and named sections reviewed; paid lessons not accessed</x:v>
      </x:c>
      <x:c r="P147" s="82" t="str">
        <x:v>Optional paid resource. Only the named section is assigned; full course and playback not audited.</x:v>
      </x:c>
    </x:row>
    <x:row r="148" ht="64" customHeight="1">
      <x:c r="A148" s="66" t="str">
        <x:v>Advanced</x:v>
      </x:c>
      <x:c r="B148" s="103" t="str">
        <x:v>A02
Research, story development and treatment testing</x:v>
      </x:c>
      <x:c r="C148" s="103"/>
      <x:c r="D148" s="75" t="str">
        <x:v>Researching before choosing the story</x:v>
      </x:c>
      <x:c r="E148" s="71" t="str">
        <x:f>IFERROR(HYPERLINK(M148,"Documentary: Finding and Shaping Your Story"),"Documentary: Finding and Shaping Your Story")</x:f>
        <x:v>Documentary: Finding and Shaping Your Story</x:v>
      </x:c>
      <x:c r="F148" s="52" t="str">
        <x:v>04:15 research</x:v>
      </x:c>
      <x:c r="G148" s="52" t="str">
        <x:v>The research chapter supports testing whether the subject and access can sustain the proposed film. Document which assumptions still need evidence.</x:v>
      </x:c>
      <x:c r="H148" s="52" t="str">
        <x:v>Optional paid lesson</x:v>
      </x:c>
      <x:c r="I148" s="52" t="str">
        <x:v>Documentary</x:v>
      </x:c>
      <x:c r="J148" s="52" t="str">
        <x:v>Sundance Collab / Roger Ross Williams</x:v>
      </x:c>
      <x:c r="K148" s="52" t="str">
        <x:v>Tool-independent</x:v>
      </x:c>
      <x:c r="L148" s="62" t="str">
        <x:v>Paid / subscription</x:v>
      </x:c>
      <x:c r="M148" s="79" t="str">
        <x:v>https://collab.sundance.org/catalog/Master-Class-Archive-Video-Doc-Filmmaking-Finding-and-Shaping-Your-Story-with-Roger-Ross-Williams</x:v>
      </x:c>
      <x:c r="N148" s="79" t="str">
        <x:v>https://collab.sundance.org/catalog/Master-Class-Archive-Video-Doc-Filmmaking-Finding-and-Shaping-Your-Story-with-Roger-Ross-Williams</x:v>
      </x:c>
      <x:c r="O148" s="83" t="str">
        <x:v>Publisher syllabus and named sections reviewed; paid lessons not accessed</x:v>
      </x:c>
      <x:c r="P148" s="83" t="str">
        <x:v>Optional paid resource. Only the named section is assigned; full course and playback not audited.</x:v>
      </x:c>
    </x:row>
    <x:row r="149" ht="64" customHeight="1">
      <x:c r="A149" s="66" t="str">
        <x:v>Advanced</x:v>
      </x:c>
      <x:c r="B149" s="103"/>
      <x:c r="C149" s="103"/>
      <x:c r="D149" s="75" t="str">
        <x:v>Testing whether a location supports the proposed approach</x:v>
      </x:c>
      <x:c r="E149" s="71" t="str">
        <x:f>IFERROR(HYPERLINK(M149,"Roger Deakins Explains Location Scouting"),"Roger Deakins Explains Location Scouting")</x:f>
        <x:v>Roger Deakins Explains Location Scouting</x:v>
      </x:c>
      <x:c r="F149" s="52" t="str">
        <x:v>01:19 previs; 02:53 location problem-solving; 05:38 workflow</x:v>
      </x:c>
      <x:c r="G149" s="52" t="str">
        <x:v>Deakins discusses scouting as visualisation and problem-solving. Use the recce to test, revise or reject a treatment assumption.</x:v>
      </x:c>
      <x:c r="H149" s="52" t="str">
        <x:v>Core lesson</x:v>
      </x:c>
      <x:c r="I149" s="52" t="str">
        <x:v>All genres</x:v>
      </x:c>
      <x:c r="J149" s="52" t="str">
        <x:v>StudioBinder</x:v>
      </x:c>
      <x:c r="K149" s="52" t="str">
        <x:v>Tool-independent</x:v>
      </x:c>
      <x:c r="L149" s="52" t="str">
        <x:v>Free lesson</x:v>
      </x:c>
      <x:c r="M149" s="79" t="str">
        <x:v>https://www.youtube.com/watch?v=IX-gQSyXSU4</x:v>
      </x:c>
      <x:c r="N149" s="79" t="str">
        <x:v>https://www.youtube.com/watch?v=IX-gQSyXSU4</x:v>
      </x:c>
      <x:c r="O149" s="83" t="str">
        <x:v>Creator description and chapter list reviewed</x:v>
      </x:c>
      <x:c r="P149" s="83" t="str">
        <x:v>Practise the named skill; the video is not evidence of independent competence.</x:v>
      </x:c>
    </x:row>
    <x:row r="150" ht="72" customHeight="1">
      <x:c r="A150" s="66" t="str">
        <x:v>Advanced</x:v>
      </x:c>
      <x:c r="B150" s="103"/>
      <x:c r="C150" s="103"/>
      <x:c r="D150" s="75" t="str">
        <x:v>Ethical development and participant communication</x:v>
      </x:c>
      <x:c r="E150" s="71" t="str">
        <x:f>IFERROR(HYPERLINK(M150,"Documentary Filmmaking: Navigating Truth
and Ethics"),"Documentary Filmmaking: Navigating Truth
and Ethics")</x:f>
        <x:v>Documentary Filmmaking: Navigating Truth
and Ethics</x:v>
      </x:c>
      <x:c r="F150" s="52" t="str">
        <x:v>54:30 ethical development; 1:23:00 communicating with subjects</x:v>
      </x:c>
      <x:c r="G150" s="52" t="str">
        <x:v>The specified chapters address decisions before production and communication with subjects. Record an ethical dilemma and the planned response.</x:v>
      </x:c>
      <x:c r="H150" s="52" t="str">
        <x:v>Optional paid lesson</x:v>
      </x:c>
      <x:c r="I150" s="52" t="str">
        <x:v>Documentary</x:v>
      </x:c>
      <x:c r="J150" s="52" t="str">
        <x:v>Sundance Collab / Dawn Porter</x:v>
      </x:c>
      <x:c r="K150" s="52" t="str">
        <x:v>Tool-independent</x:v>
      </x:c>
      <x:c r="L150" s="62" t="str">
        <x:v>Paid / subscription</x:v>
      </x:c>
      <x:c r="M150" s="79" t="str">
        <x:v>https://collab.sundance.org/catalog/Master-Class-Documentary-Filmmaking-Navigating-Truth-and-Ethics-with-Dawn-Porter-Video</x:v>
      </x:c>
      <x:c r="N150" s="79" t="str">
        <x:v>https://collab.sundance.org/catalog/Master-Class-Documentary-Filmmaking-Navigating-Truth-and-Ethics-with-Dawn-Porter-Video</x:v>
      </x:c>
      <x:c r="O150" s="83" t="str">
        <x:v>Publisher syllabus and named sections reviewed; paid lessons not accessed</x:v>
      </x:c>
      <x:c r="P150" s="83" t="str">
        <x:v>Optional paid resource. Only the named section is assigned; full course and playback not audited.</x:v>
      </x:c>
    </x:row>
    <x:row r="151" ht="64" customHeight="1">
      <x:c r="A151" s="66" t="str">
        <x:v>Advanced</x:v>
      </x:c>
      <x:c r="B151" s="103" t="str">
        <x:v>A03
Producing, budgeting, scheduling and managing change</x:v>
      </x:c>
      <x:c r="C151" s="103"/>
      <x:c r="D151" s="74" t="str">
        <x:v>Building a budget from defensible assumptions</x:v>
      </x:c>
      <x:c r="E151" s="70" t="str">
        <x:f>IFERROR(HYPERLINK(M151,"How To Make A Film Budget | Tutorial + Free
Download"),"How To Make A Film Budget | Tutorial + Free
Download")</x:f>
        <x:v>How To Make A Film Budget | Tutorial + Free
Download</x:v>
      </x:c>
      <x:c r="F151" s="44" t="str">
        <x:v>Budget assumptions and above-/below-the-line categories</x:v>
      </x:c>
      <x:c r="G151" s="44" t="str">
        <x:v>Use the budgeting method to compare the original and reduced-resource plans. Make changed scope, staffing and costs explicit.</x:v>
      </x:c>
      <x:c r="H151" s="44" t="str">
        <x:v>Core lesson</x:v>
      </x:c>
      <x:c r="I151" s="44" t="str">
        <x:v>All genres</x:v>
      </x:c>
      <x:c r="J151" s="44" t="str">
        <x:v>Curren Sheldon</x:v>
      </x:c>
      <x:c r="K151" s="44" t="str">
        <x:v>Tool-independent</x:v>
      </x:c>
      <x:c r="L151" s="44" t="str">
        <x:v>Free lesson</x:v>
      </x:c>
      <x:c r="M151" s="78" t="str">
        <x:v>https://www.youtube.com/watch?v=kLnW3pkBcPI</x:v>
      </x:c>
      <x:c r="N151" s="78" t="str">
        <x:v>https://www.youtube.com/watch?v=kLnW3pkBcPI</x:v>
      </x:c>
      <x:c r="O151" s="82" t="str">
        <x:v>Creator's lesson description reviewed</x:v>
      </x:c>
      <x:c r="P151" s="82" t="str">
        <x:v>Video is free; the optional template requires newsletter registration. Adapt categories to a small production.</x:v>
      </x:c>
    </x:row>
    <x:row r="152" ht="64" customHeight="1">
      <x:c r="A152" s="66" t="str">
        <x:v>Advanced</x:v>
      </x:c>
      <x:c r="B152" s="103"/>
      <x:c r="C152" s="103"/>
      <x:c r="D152" s="74" t="str">
        <x:v>Coordinating people through shoot-day information</x:v>
      </x:c>
      <x:c r="E152" s="70" t="str">
        <x:f>IFERROR(HYPERLINK(M152,"A Producer's Guide to Call Sheets"),"A Producer's Guide to Call Sheets")</x:f>
        <x:v>A Producer's Guide to Call Sheets</x:v>
      </x:c>
      <x:c r="F152" s="44" t="str">
        <x:v>Whole focused lesson; no chapter markers verified</x:v>
      </x:c>
      <x:c r="G152" s="44" t="str">
        <x:v>Applies call-sheet design to production coordination. Test whether a collaborator can understand their timing, location and responsibility.</x:v>
      </x:c>
      <x:c r="H152" s="44" t="str">
        <x:v>Core lesson</x:v>
      </x:c>
      <x:c r="I152" s="44" t="str">
        <x:v>All genres</x:v>
      </x:c>
      <x:c r="J152" s="44" t="str">
        <x:v>StudioBinder</x:v>
      </x:c>
      <x:c r="K152" s="44" t="str">
        <x:v>StudioBinder</x:v>
      </x:c>
      <x:c r="L152" s="44" t="str">
        <x:v>Free lesson</x:v>
      </x:c>
      <x:c r="M152" s="78" t="str">
        <x:v>https://www.studiobinder.com/tutorials/shoot/producers-guide-to-call-sheets/</x:v>
      </x:c>
      <x:c r="N152" s="78" t="str">
        <x:v>https://www.studiobinder.com/tutorials/shoot/producers-guide-to-call-sheets/</x:v>
      </x:c>
      <x:c r="O152" s="82" t="str">
        <x:v>Publisher's named video lessons reviewed</x:v>
      </x:c>
      <x:c r="P152" s="82" t="str">
        <x:v>Practise the named skill; the video is not evidence of independent competence.</x:v>
      </x:c>
    </x:row>
    <x:row r="153" ht="64" customHeight="1">
      <x:c r="A153" s="66" t="str">
        <x:v>Advanced</x:v>
      </x:c>
      <x:c r="B153" s="103"/>
      <x:c r="C153" s="103"/>
      <x:c r="D153" s="74" t="str">
        <x:v>Crew planning and client-side coordination</x:v>
      </x:c>
      <x:c r="E153" s="70" t="str">
        <x:f>IFERROR(HYPERLINK(M153,"Corporate Video Guide"),"Corporate Video Guide")</x:f>
        <x:v>Corporate Video Guide</x:v>
      </x:c>
      <x:c r="F153" s="44" t="str">
        <x:v>1.12 crew; 2.12 chain of command; 2.13 client notes</x:v>
      </x:c>
      <x:c r="G153" s="44" t="str">
        <x:v>These named chapters address the people and decision structure in a corporate production. Use them to clarify who directs, approves and escalates issues.</x:v>
      </x:c>
      <x:c r="H153" s="44" t="str">
        <x:v>Optional paid lesson</x:v>
      </x:c>
      <x:c r="I153" s="44" t="str">
        <x:v>Corporate</x:v>
      </x:c>
      <x:c r="J153" s="44" t="str">
        <x:v>DSLR Video Shooter / Caleb Pike</x:v>
      </x:c>
      <x:c r="K153" s="44" t="str">
        <x:v>Tool-independent</x:v>
      </x:c>
      <x:c r="L153" s="62" t="str">
        <x:v>Paid / subscription</x:v>
      </x:c>
      <x:c r="M153" s="78" t="str">
        <x:v>https://academy.dslrvideoshooter.com/courses/corporate-video-guide</x:v>
      </x:c>
      <x:c r="N153" s="78" t="str">
        <x:v>https://academy.dslrvideoshooter.com/courses/corporate-video-guide</x:v>
      </x:c>
      <x:c r="O153" s="82" t="str">
        <x:v>Publisher syllabus and named sections reviewed; paid lessons not accessed</x:v>
      </x:c>
      <x:c r="P153" s="82" t="str">
        <x:v>Optional paid resource. Only the named section is assigned; full course and playback not audited.</x:v>
      </x:c>
    </x:row>
    <x:row r="154" ht="72" customHeight="1">
      <x:c r="A154" s="66" t="str">
        <x:v>Advanced</x:v>
      </x:c>
      <x:c r="B154" s="103" t="str">
        <x:v>A04
Cinematography and camera-to-post workflow design</x:v>
      </x:c>
      <x:c r="C154" s="103"/>
      <x:c r="D154" s="75" t="str">
        <x:v>Designing and evaluating an exposure test</x:v>
      </x:c>
      <x:c r="E154" s="71" t="str">
        <x:f>IFERROR(HYPERLINK(M154,"How Cinematographers Set Their Exposure"),"How Cinematographers Set Their Exposure")</x:f>
        <x:v>How Cinematographers Set Their Exposure</x:v>
      </x:c>
      <x:c r="F154" s="52" t="str">
        <x:v>Exposure judgement, highlights, contrast and measurement tools</x:v>
      </x:c>
      <x:c r="G154" s="52" t="str">
        <x:v>The exposure discussion supports measuring highlight and subject-detail trade-offs. Compare camera tests through the intended postproduction path.</x:v>
      </x:c>
      <x:c r="H154" s="52" t="str">
        <x:v>Core lesson</x:v>
      </x:c>
      <x:c r="I154" s="52" t="str">
        <x:v>All genres</x:v>
      </x:c>
      <x:c r="J154" s="52" t="str">
        <x:v>In Depth Cine</x:v>
      </x:c>
      <x:c r="K154" s="52" t="str">
        <x:v>Tool-independent</x:v>
      </x:c>
      <x:c r="L154" s="52" t="str">
        <x:v>Free lesson</x:v>
      </x:c>
      <x:c r="M154" s="79" t="str">
        <x:v>https://www.youtube.com/watch?v=f8Ame_LJDOU</x:v>
      </x:c>
      <x:c r="N154" s="79" t="str">
        <x:v>https://www.indepthcine.com/videos/exposure</x:v>
      </x:c>
      <x:c r="O154" s="83" t="str">
        <x:v>Creator's published transcript reviewed</x:v>
      </x:c>
      <x:c r="P154" s="83" t="str">
        <x:v>Test the actual camera and recording format; numerical camera claims are not universal.</x:v>
      </x:c>
    </x:row>
    <x:row r="155" ht="72" customHeight="1">
      <x:c r="A155" s="66" t="str">
        <x:v>Advanced</x:v>
      </x:c>
      <x:c r="B155" s="103"/>
      <x:c r="C155" s="103"/>
      <x:c r="D155" s="75" t="str">
        <x:v>Camera-source handling through the editing workflow</x:v>
      </x:c>
      <x:c r="E155" s="71" t="str">
        <x:f>IFERROR(HYPERLINK(M155,"Color Management"),"Color Management")</x:f>
        <x:v>Color Management</x:v>
      </x:c>
      <x:c r="F155" s="52" t="str">
        <x:v>Whole focused lesson; no chapter markers verified</x:v>
      </x:c>
      <x:c r="G155" s="52" t="str">
        <x:v>Colour management connects recorded material to the working and output environment. Validate a source clip before committing to a production workflow.</x:v>
      </x:c>
      <x:c r="H155" s="52" t="str">
        <x:v>Core lesson</x:v>
      </x:c>
      <x:c r="I155" s="52" t="str">
        <x:v>All genres</x:v>
      </x:c>
      <x:c r="J155" s="52" t="str">
        <x:v>Adobe / Karl Soule</x:v>
      </x:c>
      <x:c r="K155" s="52" t="str">
        <x:v>Premiere Pro</x:v>
      </x:c>
      <x:c r="L155" s="52" t="str">
        <x:v>Free lesson</x:v>
      </x:c>
      <x:c r="M155" s="79" t="str">
        <x:v>https://adobevideotraining.com/video/color-management/</x:v>
      </x:c>
      <x:c r="N155" s="79" t="str">
        <x:v>https://adobevideotraining.com/video/color-management/</x:v>
      </x:c>
      <x:c r="O155" s="83" t="str">
        <x:v>Publisher video description/syllabus reviewed; not full playback</x:v>
      </x:c>
      <x:c r="P155" s="83" t="str">
        <x:v>Use the installed-version controls. The publisher synopsis was reviewed; full playback was not audited.</x:v>
      </x:c>
    </x:row>
    <x:row r="156" ht="84" customHeight="1">
      <x:c r="A156" s="66" t="str">
        <x:v>Advanced</x:v>
      </x:c>
      <x:c r="B156" s="103"/>
      <x:c r="C156" s="103"/>
      <x:c r="D156" s="75" t="str">
        <x:v>Testing source colour spaces and transforms</x:v>
      </x:c>
      <x:c r="E156" s="71" t="str">
        <x:f>IFERROR(HYPERLINK(M156,"The Pro Colorist Guide to Color Management
in 2024"),"The Pro Colorist Guide to Color Management
in 2024")</x:f>
        <x:v>The Pro Colorist Guide to Color Management
in 2024</x:v>
      </x:c>
      <x:c r="F156" s="52" t="str">
        <x:v>22:00 timeline colour space; 24:55 CSTs; 32:10 unknown source</x:v>
      </x:c>
      <x:c r="G156" s="52" t="str">
        <x:v>The specified sections explain how source information and transforms affect consistency. Use the test to identify mismatched or unknown source settings.</x:v>
      </x:c>
      <x:c r="H156" s="52" t="str">
        <x:v>Alternative software workflow</x:v>
      </x:c>
      <x:c r="I156" s="52" t="str">
        <x:v>All genres</x:v>
      </x:c>
      <x:c r="J156" s="52" t="str">
        <x:v>Cullen Kelly</x:v>
      </x:c>
      <x:c r="K156" s="52" t="str">
        <x:v>DaVinci Resolve</x:v>
      </x:c>
      <x:c r="L156" s="52" t="str">
        <x:v>Free lesson</x:v>
      </x:c>
      <x:c r="M156" s="79" t="str">
        <x:v>https://www.youtube.com/watch?v=JpRuQQ__-YA</x:v>
      </x:c>
      <x:c r="N156" s="79" t="str">
        <x:v>https://www.youtube.com/watch?v=JpRuQQ__-YA</x:v>
      </x:c>
      <x:c r="O156" s="83" t="str">
        <x:v>Creator description and detailed chapter list reviewed</x:v>
      </x:c>
      <x:c r="P156" s="83" t="str">
        <x:v>Resolve demonstration recorded in 2024. Apply the colour-science principles; verify version-specific controls and display assumptions. Resolve-specific implementation; do not force a software change when the learner uses Premiere.</x:v>
      </x:c>
    </x:row>
    <x:row r="157" ht="96" customHeight="1">
      <x:c r="A157" s="114" t="str">
        <x:v>Advanced</x:v>
      </x:c>
      <x:c r="B157" s="115"/>
      <x:c r="C157" s="115"/>
      <x:c r="D157" s="107" t="str">
        <x:v>Designing a camera-to-post hybrid workflow</x:v>
      </x:c>
      <x:c r="E157" s="108" t="str">
        <x:f>IFERROR(HYPERLINK(M157,"Hybrid AI and Live Action Filmmaking"),"Hybrid AI and Live Action Filmmaking")</x:f>
        <x:v>Hybrid AI and Live Action Filmmaking</x:v>
      </x:c>
      <x:c r="F157" s="109" t="str">
        <x:v>Whole focused tutorial / case study; chapter timestamps not verified</x:v>
      </x:c>
      <x:c r="G157" s="109" t="str">
        <x:v>Plan clean plates and practical reference objects. Match perspective, masking, colour and focus during compositing.</x:v>
      </x:c>
      <x:c r="H157" s="109" t="str">
        <x:v>AI hybrid lesson (A-AI02)</x:v>
      </x:c>
      <x:c r="I157" s="109" t="str">
        <x:v>All genres</x:v>
      </x:c>
      <x:c r="J157" s="109" t="str">
        <x:v>VP Land / Denoised</x:v>
      </x:c>
      <x:c r="K157" s="109" t="str">
        <x:v>Camera, Photoshop, AI tools and DaVinci Resolve</x:v>
      </x:c>
      <x:c r="L157" s="109" t="str">
        <x:v>Free YouTube video; tool access may be paid</x:v>
      </x:c>
      <x:c r="M157" s="110" t="str">
        <x:v>https://www.youtube.com/watch?v=GTUWUPm1kdI</x:v>
      </x:c>
      <x:c r="N157" s="110" t="str">
        <x:v>https://www.youtube.com/watch?v=GTUWUPm1kdI</x:v>
      </x:c>
      <x:c r="O157" s="111" t="str">
        <x:v>Description / publisher references reviewed; learner comments and counts unverified</x:v>
      </x:c>
      <x:c r="P157" s="111" t="str">
        <x:v>Case study includes generative sections. Focus on plate capture and corrective finishing.</x:v>
      </x:c>
    </x:row>
    <x:row r="158" ht="64" customHeight="1">
      <x:c r="A158" s="66" t="str">
        <x:v>Advanced</x:v>
      </x:c>
      <x:c r="B158" s="103" t="str">
        <x:v>A05
Directing people, staging action and designing coverage</x:v>
      </x:c>
      <x:c r="C158" s="103"/>
      <x:c r="D158" s="74" t="str">
        <x:v>Coordinating actor and camera positions</x:v>
      </x:c>
      <x:c r="E158" s="70" t="str">
        <x:f>IFERROR(HYPERLINK(M158,"Film Blocking Tutorial"),"Film Blocking Tutorial")</x:f>
        <x:v>Film Blocking Tutorial</x:v>
      </x:c>
      <x:c r="F158" s="44" t="str">
        <x:v>Actor positioning and camera choreography in scene examples</x:v>
      </x:c>
      <x:c r="G158" s="44" t="str">
        <x:v>The blocking explanation shows how staging and camera placement interact. Rehearse coverage and explain why the movement serves the scene.</x:v>
      </x:c>
      <x:c r="H158" s="44" t="str">
        <x:v>Core lesson</x:v>
      </x:c>
      <x:c r="I158" s="44" t="str">
        <x:v>Staged scenes / transferable</x:v>
      </x:c>
      <x:c r="J158" s="44" t="str">
        <x:v>StudioBinder</x:v>
      </x:c>
      <x:c r="K158" s="44" t="str">
        <x:v>Tool-independent</x:v>
      </x:c>
      <x:c r="L158" s="44" t="str">
        <x:v>Free lesson</x:v>
      </x:c>
      <x:c r="M158" s="78" t="str">
        <x:v>https://www.youtube.com/watch?v=9AGaECt9j4g</x:v>
      </x:c>
      <x:c r="N158" s="78" t="str">
        <x:v>https://www.studiobinder.com/blog/blocking-and-staging-scenes/</x:v>
      </x:c>
      <x:c r="O158" s="82" t="str">
        <x:v>Publisher companion explanation reviewed</x:v>
      </x:c>
      <x:c r="P158" s="82" t="str">
        <x:v>Not a method for manufacturing events in an observational documentary.</x:v>
      </x:c>
    </x:row>
    <x:row r="159" ht="64" customHeight="1">
      <x:c r="A159" s="66" t="str">
        <x:v>Advanced</x:v>
      </x:c>
      <x:c r="B159" s="103"/>
      <x:c r="C159" s="103"/>
      <x:c r="D159" s="74" t="str">
        <x:v>Rehearsing action before finalising coverage</x:v>
      </x:c>
      <x:c r="E159" s="70" t="str">
        <x:f>IFERROR(HYPERLINK(M159,"Cinematic Film Composition — Blocking,
Staging &amp; Composition"),"Cinematic Film Composition — Blocking,
Staging &amp; Composition")</x:f>
        <x:v>Cinematic Film Composition — Blocking,
Staging &amp; Composition</x:v>
      </x:c>
      <x:c r="F159" s="44" t="str">
        <x:v>00:25 blocking and rehearsal</x:v>
      </x:c>
      <x:c r="G159" s="44" t="str">
        <x:v>The blocking/rehearsal example supports planning coordinated action. Test a reduced-time version without sacrificing the essential beat.</x:v>
      </x:c>
      <x:c r="H159" s="44" t="str">
        <x:v>Supporting case study</x:v>
      </x:c>
      <x:c r="I159" s="44" t="str">
        <x:v>All genres</x:v>
      </x:c>
      <x:c r="J159" s="44" t="str">
        <x:v>StudioBinder</x:v>
      </x:c>
      <x:c r="K159" s="44" t="str">
        <x:v>Tool-independent</x:v>
      </x:c>
      <x:c r="L159" s="44" t="str">
        <x:v>Free lesson</x:v>
      </x:c>
      <x:c r="M159" s="78" t="str">
        <x:v>https://www.youtube.com/watch?v=BWgcb7uiO7c</x:v>
      </x:c>
      <x:c r="N159" s="78" t="str">
        <x:v>https://www.youtube.com/watch?v=BWgcb7uiO7c</x:v>
      </x:c>
      <x:c r="O159" s="82" t="str">
        <x:v>Creator description and chapter list reviewed</x:v>
      </x:c>
      <x:c r="P159" s="82" t="str">
        <x:v>Practise the named skill; the video is not evidence of independent competence.</x:v>
      </x:c>
    </x:row>
    <x:row r="160" ht="72" customHeight="1">
      <x:c r="A160" s="66" t="str">
        <x:v>Advanced</x:v>
      </x:c>
      <x:c r="B160" s="103"/>
      <x:c r="C160" s="103"/>
      <x:c r="D160" s="74" t="str">
        <x:v>Working with uncomfortable non-performers</x:v>
      </x:c>
      <x:c r="E160" s="70" t="str">
        <x:f>IFERROR(HYPERLINK(M160,"Corporate Video Guide"),"Corporate Video Guide")</x:f>
        <x:v>Corporate Video Guide</x:v>
      </x:c>
      <x:c r="F160" s="44" t="str">
        <x:v>2.11 working with shy talent</x:v>
      </x:c>
      <x:c r="G160" s="44" t="str">
        <x:v>The named lesson focuses on shy talent. Translate direction into clear participant actions and evaluate whether communication becomes more natural.</x:v>
      </x:c>
      <x:c r="H160" s="44" t="str">
        <x:v>Optional paid lesson</x:v>
      </x:c>
      <x:c r="I160" s="44" t="str">
        <x:v>Corporate</x:v>
      </x:c>
      <x:c r="J160" s="44" t="str">
        <x:v>DSLR Video Shooter / Caleb Pike</x:v>
      </x:c>
      <x:c r="K160" s="44" t="str">
        <x:v>Tool-independent</x:v>
      </x:c>
      <x:c r="L160" s="62" t="str">
        <x:v>Paid / subscription</x:v>
      </x:c>
      <x:c r="M160" s="78" t="str">
        <x:v>https://academy.dslrvideoshooter.com/courses/corporate-video-guide</x:v>
      </x:c>
      <x:c r="N160" s="78" t="str">
        <x:v>https://academy.dslrvideoshooter.com/courses/corporate-video-guide</x:v>
      </x:c>
      <x:c r="O160" s="82" t="str">
        <x:v>Publisher syllabus and named sections reviewed; paid lessons not accessed</x:v>
      </x:c>
      <x:c r="P160" s="82" t="str">
        <x:v>Optional paid resource. Only the named section is assigned; full course and playback not audited.</x:v>
      </x:c>
    </x:row>
    <x:row r="161" ht="64" customHeight="1">
      <x:c r="A161" s="66" t="str">
        <x:v>Advanced</x:v>
      </x:c>
      <x:c r="B161" s="103" t="str">
        <x:v>A06
Lighting design and maintaining continuity</x:v>
      </x:c>
      <x:c r="C161" s="103"/>
      <x:c r="D161" s="75" t="str">
        <x:v>Documenting and stress-testing an interview lighting setup</x:v>
      </x:c>
      <x:c r="E161" s="71" t="str">
        <x:f>IFERROR(HYPERLINK(M161,"How I Light Every Interview (my 10-step
system)"),"How I Light Every Interview (my 10-step
system)")</x:f>
        <x:v>How I Light Every Interview (my 10-step
system)</x:v>
      </x:c>
      <x:c r="F161" s="52" t="str">
        <x:v>10:06 contrast; 11:55 background; 13:52 matching; 14:39 stress-test/document</x:v>
      </x:c>
      <x:c r="G161" s="52" t="str">
        <x:v>The workflow explicitly includes contrast, backgrounds, matching and stress tests. Reproduce the look after moving the subject or camera.</x:v>
      </x:c>
      <x:c r="H161" s="52" t="str">
        <x:v>Core lesson</x:v>
      </x:c>
      <x:c r="I161" s="52" t="str">
        <x:v>All genres</x:v>
      </x:c>
      <x:c r="J161" s="52" t="str">
        <x:v>Mark Bone</x:v>
      </x:c>
      <x:c r="K161" s="52" t="str">
        <x:v>Tool-independent</x:v>
      </x:c>
      <x:c r="L161" s="52" t="str">
        <x:v>Free lesson</x:v>
      </x:c>
      <x:c r="M161" s="79" t="str">
        <x:v>https://www.youtube.com/watch?v=NOrTSb-kZC4</x:v>
      </x:c>
      <x:c r="N161" s="79" t="str">
        <x:v>https://www.youtube.com/watch?v=NOrTSb-kZC4</x:v>
      </x:c>
      <x:c r="O161" s="83" t="str">
        <x:v>Creator description and chapter list reviewed</x:v>
      </x:c>
      <x:c r="P161" s="83" t="str">
        <x:v>Skip course promotions. Adapt equipment scale to the learner's resources.</x:v>
      </x:c>
    </x:row>
    <x:row r="162" ht="72" customHeight="1">
      <x:c r="A162" s="66" t="str">
        <x:v>Advanced</x:v>
      </x:c>
      <x:c r="B162" s="103"/>
      <x:c r="C162" s="103"/>
      <x:c r="D162" s="75" t="str">
        <x:v>Maintaining light direction across reverse angles</x:v>
      </x:c>
      <x:c r="E162" s="71" t="str">
        <x:f>IFERROR(HYPERLINK(M162,"Filmmaking 101: Lighting Continuity"),"Filmmaking 101: Lighting Continuity")</x:f>
        <x:v>Filmmaking 101: Lighting Continuity</x:v>
      </x:c>
      <x:c r="F162" s="52" t="str">
        <x:v>Master shot and two reverse angles: preserve key direction while adjusting close-ups</x:v>
      </x:c>
      <x:c r="G162" s="52" t="str">
        <x:v>The wide-shot and reverse-angle demonstration directly addresses lighting continuity. Compare the connected setups rather than isolated hero frames.</x:v>
      </x:c>
      <x:c r="H162" s="52" t="str">
        <x:v>Core lesson</x:v>
      </x:c>
      <x:c r="I162" s="52" t="str">
        <x:v>All genres</x:v>
      </x:c>
      <x:c r="J162" s="52" t="str">
        <x:v>Aputure</x:v>
      </x:c>
      <x:c r="K162" s="52" t="str">
        <x:v>Tool-independent</x:v>
      </x:c>
      <x:c r="L162" s="52" t="str">
        <x:v>Free lesson</x:v>
      </x:c>
      <x:c r="M162" s="79" t="str">
        <x:v>https://www.youtube.com/watch?v=-Ei6ofmR45c</x:v>
      </x:c>
      <x:c r="N162" s="79" t="str">
        <x:v>https://www.youtube.com/watch?v=-Ei6ofmR45c</x:v>
      </x:c>
      <x:c r="O162" s="83" t="str">
        <x:v>Detailed creator demonstration outline reviewed</x:v>
      </x:c>
      <x:c r="P162" s="83" t="str">
        <x:v>Practise the named skill; the video is not evidence of independent competence.</x:v>
      </x:c>
    </x:row>
    <x:row r="163" ht="64" customHeight="1">
      <x:c r="A163" s="66" t="str">
        <x:v>Advanced</x:v>
      </x:c>
      <x:c r="B163" s="103"/>
      <x:c r="C163" s="103"/>
      <x:c r="D163" s="75" t="str">
        <x:v>Controlling reflections on a product</x:v>
      </x:c>
      <x:c r="E163" s="71" t="str">
        <x:f>IFERROR(HYPERLINK(M163,"Product Lighting — Commercial
Cinematography 101"),"Product Lighting — Commercial
Cinematography 101")</x:f>
        <x:v>Product Lighting — Commercial
Cinematography 101</x:v>
      </x:c>
      <x:c r="F163" s="52" t="str">
        <x:v>Reflective bottle lighting; source shape; camera/light movement</x:v>
      </x:c>
      <x:c r="G163" s="52" t="str">
        <x:v>The demonstration explains source shape and movement on reflective surfaces. Test a label and highlight reveal on a simple product.</x:v>
      </x:c>
      <x:c r="H163" s="52" t="str">
        <x:v>Genre-specific technical lesson</x:v>
      </x:c>
      <x:c r="I163" s="52" t="str">
        <x:v>Advertising</x:v>
      </x:c>
      <x:c r="J163" s="52" t="str">
        <x:v>Aputure</x:v>
      </x:c>
      <x:c r="K163" s="52" t="str">
        <x:v>Tool-independent</x:v>
      </x:c>
      <x:c r="L163" s="52" t="str">
        <x:v>Free lesson</x:v>
      </x:c>
      <x:c r="M163" s="79" t="str">
        <x:v>https://www.youtube.com/watch?v=kjv-n7CeBNY</x:v>
      </x:c>
      <x:c r="N163" s="79" t="str">
        <x:v>https://www.youtube.com/watch?v=kjv-n7CeBNY</x:v>
      </x:c>
      <x:c r="O163" s="83" t="str">
        <x:v>Creator's detailed lesson description reviewed</x:v>
      </x:c>
      <x:c r="P163" s="83" t="str">
        <x:v>Uses a beer-bottle example; practise the lighting technique on a non-alcohol product. Not a creative-strategy or budgeting lesson.</x:v>
      </x:c>
    </x:row>
    <x:row r="164" ht="64" customHeight="1">
      <x:c r="A164" s="66" t="str">
        <x:v>Advanced</x:v>
      </x:c>
      <x:c r="B164" s="103" t="str">
        <x:v>A07
Production sound and recording reliability</x:v>
      </x:c>
      <x:c r="C164" s="103"/>
      <x:c r="D164" s="74" t="str">
        <x:v>Planning multi-device sound and sync reliability</x:v>
      </x:c>
      <x:c r="E164" s="70" t="str">
        <x:f>IFERROR(HYPERLINK(M164,"Timecode for Multiple Cameras"),"Timecode for Multiple Cameras")</x:f>
        <x:v>Timecode for Multiple Cameras</x:v>
      </x:c>
      <x:c r="F164" s="44" t="str">
        <x:v>Device inventory; checking sync; slate fallback; sound-report handover</x:v>
      </x:c>
      <x:c r="G164" s="44" t="str">
        <x:v>The production example covers device inventory, sync checks, slate fallback and handover information. Build a compatible recording and recovery plan.</x:v>
      </x:c>
      <x:c r="H164" s="44" t="str">
        <x:v>Core lesson</x:v>
      </x:c>
      <x:c r="I164" s="44" t="str">
        <x:v>All genres</x:v>
      </x:c>
      <x:c r="J164" s="44" t="str">
        <x:v>Deity Microphones</x:v>
      </x:c>
      <x:c r="K164" s="44" t="str">
        <x:v>Tool-independent</x:v>
      </x:c>
      <x:c r="L164" s="44" t="str">
        <x:v>Free lesson</x:v>
      </x:c>
      <x:c r="M164" s="78" t="str">
        <x:v>https://deitymic.com/blog/timecode-for-multiple-cameras/</x:v>
      </x:c>
      <x:c r="N164" s="78" t="str">
        <x:v>https://deitymic.com/blog/timecode-for-multiple-cameras/</x:v>
      </x:c>
      <x:c r="O164" s="82" t="str">
        <x:v>Publisher video page and accompanying instructions reviewed</x:v>
      </x:c>
      <x:c r="P164" s="82" t="str">
        <x:v>Product-specific demonstration. Confirm each camera's timecode support; do not generalise vendor gear requirements.</x:v>
      </x:c>
    </x:row>
    <x:row r="165" ht="72" customHeight="1">
      <x:c r="A165" s="66" t="str">
        <x:v>Advanced</x:v>
      </x:c>
      <x:c r="B165" s="103"/>
      <x:c r="C165" s="103"/>
      <x:c r="D165" s="74" t="str">
        <x:v>Adapting the recording approach to the location</x:v>
      </x:c>
      <x:c r="E165" s="70" t="str">
        <x:f>IFERROR(HYPERLINK(M165,"Recording Sound for Film — How to Get
Pristine Audio"),"Recording Sound for Film — How to Get
Pristine Audio")</x:f>
        <x:v>Recording Sound for Film — How to Get
Pristine Audio</x:v>
      </x:c>
      <x:c r="F165" s="44" t="str">
        <x:v>Interior and exterior location-sound sections</x:v>
      </x:c>
      <x:c r="G165" s="44" t="str">
        <x:v>Use the interior/exterior sound sections to diagnose acoustic and environmental problems. Demonstrate when to change placement or the recording setup.</x:v>
      </x:c>
      <x:c r="H165" s="44" t="str">
        <x:v>Core lesson</x:v>
      </x:c>
      <x:c r="I165" s="44" t="str">
        <x:v>All genres</x:v>
      </x:c>
      <x:c r="J165" s="44" t="str">
        <x:v>StudioBinder</x:v>
      </x:c>
      <x:c r="K165" s="44" t="str">
        <x:v>Tool-independent</x:v>
      </x:c>
      <x:c r="L165" s="44" t="str">
        <x:v>Free lesson</x:v>
      </x:c>
      <x:c r="M165" s="78" t="str">
        <x:v>https://www.youtube.com/watch?v=6fSlQ1tRMrE</x:v>
      </x:c>
      <x:c r="N165" s="78" t="str">
        <x:v>https://www.studiobinder.com/blog/sound-recording/</x:v>
      </x:c>
      <x:c r="O165" s="82" t="str">
        <x:v>Publisher's accompanying sound-recording guide reviewed</x:v>
      </x:c>
      <x:c r="P165" s="82" t="str">
        <x:v>Practise the named skill; the video is not evidence of independent competence.</x:v>
      </x:c>
    </x:row>
    <x:row r="166" ht="72" customHeight="1">
      <x:c r="A166" s="66" t="str">
        <x:v>Advanced</x:v>
      </x:c>
      <x:c r="B166" s="103"/>
      <x:c r="C166" s="103"/>
      <x:c r="D166" s="74" t="str">
        <x:v>Diagnosing a specific microphone-placement problem</x:v>
      </x:c>
      <x:c r="E166" s="70" t="str">
        <x:f>IFERROR(HYPERLINK(M166,"Mic Placement Matters!"),"Mic Placement Matters!")</x:f>
        <x:v>Mic Placement Matters!</x:v>
      </x:c>
      <x:c r="F166" s="44" t="str">
        <x:v>00:18–03:09: sibilance, mic angle/height and foam-cover comparisons</x:v>
      </x:c>
      <x:c r="G166" s="44" t="str">
        <x:v>Controlled angle and height comparisons show the effect on sibilance. Reproduce the test and justify the selected position.</x:v>
      </x:c>
      <x:c r="H166" s="44" t="str">
        <x:v>Focused diagnostic exercise</x:v>
      </x:c>
      <x:c r="I166" s="44" t="str">
        <x:v>All genres</x:v>
      </x:c>
      <x:c r="J166" s="44" t="str">
        <x:v>Curtis Judd</x:v>
      </x:c>
      <x:c r="K166" s="44" t="str">
        <x:v>Tool-independent</x:v>
      </x:c>
      <x:c r="L166" s="44" t="str">
        <x:v>Free lesson</x:v>
      </x:c>
      <x:c r="M166" s="78" t="str">
        <x:v>https://www.youtube.com/watch?v=0oYm6YJjOcs</x:v>
      </x:c>
      <x:c r="N166" s="78" t="str">
        <x:v>https://www.youtube.com/watch?v=0oYm6YJjOcs</x:v>
      </x:c>
      <x:c r="O166" s="82" t="str">
        <x:v>Creator description and chapter list reviewed</x:v>
      </x:c>
      <x:c r="P166" s="82" t="str">
        <x:v>A specific sibilance/placement test, not a complete beginner recording course. Narrow diagnostic demonstration; not a substitute for the full production-sound strategy.</x:v>
      </x:c>
    </x:row>
    <x:row r="167" ht="72" customHeight="1">
      <x:c r="A167" s="66" t="str">
        <x:v>Advanced</x:v>
      </x:c>
      <x:c r="B167" s="103" t="str">
        <x:v>A08
Media integrity, collaboration and project handover</x:v>
      </x:c>
      <x:c r="C167" s="103"/>
      <x:c r="D167" s="75" t="str">
        <x:v>Managing shared projects and edit ownership</x:v>
      </x:c>
      <x:c r="E167" s="71" t="str">
        <x:f>IFERROR(HYPERLINK(M167,"Productions — collaborative long-form
editing"),"Productions — collaborative long-form
editing")</x:f>
        <x:v>Productions — collaborative long-form
editing</x:v>
      </x:c>
      <x:c r="F167" s="52" t="str">
        <x:v>Whole focused lesson; no chapter markers verified</x:v>
      </x:c>
      <x:c r="G167" s="52" t="str">
        <x:v>The Productions workflow addresses collaborative editing, not narrative structure. Demonstrate a handover where ownership and the current edit are clear.</x:v>
      </x:c>
      <x:c r="H167" s="52" t="str">
        <x:v>Core lesson</x:v>
      </x:c>
      <x:c r="I167" s="52" t="str">
        <x:v>All genres</x:v>
      </x:c>
      <x:c r="J167" s="52" t="str">
        <x:v>Adobe / Karl Soule</x:v>
      </x:c>
      <x:c r="K167" s="52" t="str">
        <x:v>Premiere Pro</x:v>
      </x:c>
      <x:c r="L167" s="52" t="str">
        <x:v>Free lesson</x:v>
      </x:c>
      <x:c r="M167" s="79" t="str">
        <x:v>https://adobevideotraining.com/video/productions/</x:v>
      </x:c>
      <x:c r="N167" s="79" t="str">
        <x:v>https://adobevideotraining.com/video/productions/</x:v>
      </x:c>
      <x:c r="O167" s="83" t="str">
        <x:v>Publisher video description/syllabus reviewed; not full playback</x:v>
      </x:c>
      <x:c r="P167" s="83" t="str">
        <x:v>Use the installed-version controls. The publisher synopsis was reviewed; full playback was not audited.</x:v>
      </x:c>
    </x:row>
    <x:row r="168" ht="64" customHeight="1">
      <x:c r="A168" s="66" t="str">
        <x:v>Advanced</x:v>
      </x:c>
      <x:c r="B168" s="103"/>
      <x:c r="C168" s="103"/>
      <x:c r="D168" s="75" t="str">
        <x:v>Restoring media links during a handover</x:v>
      </x:c>
      <x:c r="E168" s="71" t="str">
        <x:f>IFERROR(HYPERLINK(M168,"Project setup &amp; media import"),"Project setup &amp; media import")</x:f>
        <x:v>Project setup &amp; media import</x:v>
      </x:c>
      <x:c r="F168" s="52" t="str">
        <x:v>Project setup and relinking portions; no chapter timing verified</x:v>
      </x:c>
      <x:c r="G168" s="52" t="str">
        <x:v>Use project setup and relinking to test a moved project. Another editor should reopen the work without undocumented repairs.</x:v>
      </x:c>
      <x:c r="H168" s="52" t="str">
        <x:v>Core lesson</x:v>
      </x:c>
      <x:c r="I168" s="52" t="str">
        <x:v>All genres</x:v>
      </x:c>
      <x:c r="J168" s="52" t="str">
        <x:v>Adobe / Karl Soule</x:v>
      </x:c>
      <x:c r="K168" s="52" t="str">
        <x:v>Premiere Pro</x:v>
      </x:c>
      <x:c r="L168" s="52" t="str">
        <x:v>Free lesson</x:v>
      </x:c>
      <x:c r="M168" s="79" t="str">
        <x:v>https://adobevideotraining.com/video/project-setup-media-import/</x:v>
      </x:c>
      <x:c r="N168" s="79" t="str">
        <x:v>https://adobevideotraining.com/video/project-setup-media-import/</x:v>
      </x:c>
      <x:c r="O168" s="83" t="str">
        <x:v>Publisher video description/syllabus reviewed; not full playback</x:v>
      </x:c>
      <x:c r="P168" s="83" t="str">
        <x:v>Use the installed-version controls. The publisher synopsis was reviewed; full playback was not audited.</x:v>
      </x:c>
    </x:row>
    <x:row r="169" ht="72" customHeight="1">
      <x:c r="A169" s="66" t="str">
        <x:v>Advanced</x:v>
      </x:c>
      <x:c r="B169" s="103"/>
      <x:c r="C169" s="103"/>
      <x:c r="D169" s="75" t="str">
        <x:v>Maintaining proxy-to-original relationships</x:v>
      </x:c>
      <x:c r="E169" s="71" t="str">
        <x:f>IFERROR(HYPERLINK(M169,"Create proxies in Premiere"),"Create proxies in Premiere")</x:f>
        <x:v>Create proxies in Premiere</x:v>
      </x:c>
      <x:c r="F169" s="52" t="str">
        <x:v>Embedded proxy-creation demonstration</x:v>
      </x:c>
      <x:c r="G169" s="52" t="str">
        <x:v>The proxy workflow supports efficient collaboration. Check the link to camera originals before finishing and delivery.</x:v>
      </x:c>
      <x:c r="H169" s="52" t="str">
        <x:v>Technical workflow support</x:v>
      </x:c>
      <x:c r="I169" s="52" t="str">
        <x:v>All genres</x:v>
      </x:c>
      <x:c r="J169" s="52" t="str">
        <x:v>Adobe</x:v>
      </x:c>
      <x:c r="K169" s="52" t="str">
        <x:v>Premiere / Media Encoder</x:v>
      </x:c>
      <x:c r="L169" s="52" t="str">
        <x:v>Free lesson</x:v>
      </x:c>
      <x:c r="M169" s="79" t="str">
        <x:v>https://helpx.adobe.com/au/premiere/desktop/organize-media/ingest-proxy-workflow/create-proxies.html</x:v>
      </x:c>
      <x:c r="N169" s="79" t="str">
        <x:v>https://helpx.adobe.com/au/premiere/desktop/organize-media/ingest-proxy-workflow/create-proxies.html</x:v>
      </x:c>
      <x:c r="O169" s="83" t="str">
        <x:v>Publisher instructions and embedded video identified</x:v>
      </x:c>
      <x:c r="P169" s="83" t="str">
        <x:v>Keep original media. Proxy files are editing substitutes, not archival masters or backups. The advanced task is a verified handover; merely creating proxies is not enough.</x:v>
      </x:c>
    </x:row>
    <x:row r="170" ht="72" customHeight="1">
      <x:c r="A170" s="66" t="str">
        <x:v>Advanced</x:v>
      </x:c>
      <x:c r="B170" s="103"/>
      <x:c r="C170" s="103"/>
      <x:c r="D170" s="75" t="str">
        <x:v>Preserving useful metadata and controlling disclosure</x:v>
      </x:c>
      <x:c r="E170" s="71" t="str">
        <x:f>IFERROR(HYPERLINK(M170,"What Is Video Metadata?"),"What Is Video Metadata?")</x:f>
        <x:v>What Is Video Metadata?</x:v>
      </x:c>
      <x:c r="F170" s="52" t="str">
        <x:v>Meaning, sources and privacy risks of video metadata</x:v>
      </x:c>
      <x:c r="G170" s="52" t="str">
        <x:v>Metadata explanation supports source identification and responsible handover. Decide which production information to retain and which not to publish.</x:v>
      </x:c>
      <x:c r="H170" s="52" t="str">
        <x:v>Supporting lesson</x:v>
      </x:c>
      <x:c r="I170" s="52" t="str">
        <x:v>All genres</x:v>
      </x:c>
      <x:c r="J170" s="52" t="str">
        <x:v>WITNESS</x:v>
      </x:c>
      <x:c r="K170" s="52" t="str">
        <x:v>Tool-independent</x:v>
      </x:c>
      <x:c r="L170" s="52" t="str">
        <x:v>Free lesson</x:v>
      </x:c>
      <x:c r="M170" s="79" t="str">
        <x:v>https://www.youtube.com/watch?v=A0g8JnuwiX8</x:v>
      </x:c>
      <x:c r="N170" s="79" t="str">
        <x:v>https://library.witness.org/product/video-metadata/</x:v>
      </x:c>
      <x:c r="O170" s="83" t="str">
        <x:v>Publisher video description reviewed</x:v>
      </x:c>
      <x:c r="P170" s="83" t="str">
        <x:v>Practise the named skill; the video is not evidence of independent competence.</x:v>
      </x:c>
    </x:row>
    <x:row r="171" ht="96" customHeight="1">
      <x:c r="A171" s="114" t="str">
        <x:v>Advanced</x:v>
      </x:c>
      <x:c r="B171" s="115"/>
      <x:c r="C171" s="115"/>
      <x:c r="D171" s="107" t="str">
        <x:v>Preserving AI mattes through project revisions</x:v>
      </x:c>
      <x:c r="E171" s="108" t="str">
        <x:f>IFERROR(HYPERLINK(M171,"Never Retrack Magic Mask 2 in Resolve"),"Never Retrack Magic Mask 2 in Resolve")</x:f>
        <x:v>Never Retrack Magic Mask 2 in Resolve</x:v>
      </x:c>
      <x:c r="F171" s="109" t="str">
        <x:v>Whole focused tutorial / case study; chapter timestamps not verified</x:v>
      </x:c>
      <x:c r="G171" s="109" t="str">
        <x:v>Render and reuse mattes when duplicating timelines or changing resolution, keeping handover assets organised.</x:v>
      </x:c>
      <x:c r="H171" s="109" t="str">
        <x:v>AI hybrid lesson (A-AI05)</x:v>
      </x:c>
      <x:c r="I171" s="109" t="str">
        <x:v>All genres</x:v>
      </x:c>
      <x:c r="J171" s="109" t="str">
        <x:v>Creative Video Tips</x:v>
      </x:c>
      <x:c r="K171" s="109" t="str">
        <x:v>DaVinci Resolve 20 Studio</x:v>
      </x:c>
      <x:c r="L171" s="109" t="str">
        <x:v>Free YouTube video; tool access may be paid</x:v>
      </x:c>
      <x:c r="M171" s="110" t="str">
        <x:v>https://www.youtube.com/watch?v=A_QTTSKA17o</x:v>
      </x:c>
      <x:c r="N171" s="110" t="str">
        <x:v>https://www.youtube.com/watch?v=A_QTTSKA17o</x:v>
      </x:c>
      <x:c r="O171" s="111" t="str">
        <x:v>Description / publisher references reviewed; learner comments and counts unverified</x:v>
      </x:c>
      <x:c r="P171" s="111" t="str">
        <x:v>Retain source shots and rendered mattes with clear filenames and version information.</x:v>
      </x:c>
    </x:row>
    <x:row r="172" ht="64" customHeight="1">
      <x:c r="A172" s="66" t="str">
        <x:v>Advanced</x:v>
      </x:c>
      <x:c r="B172" s="103" t="str">
        <x:v>A09
Structural editing and managing editorial revisions</x:v>
      </x:c>
      <x:c r="C172" s="103"/>
      <x:c r="D172" s="74" t="str">
        <x:v>Rebuilding structure from the same rushes</x:v>
      </x:c>
      <x:c r="E172" s="70" t="str">
        <x:f>IFERROR(HYPERLINK(M172,"How Editors Cut the Same Scene in 2
Completely Different Ways"),"How Editors Cut the Same Scene in 2
Completely Different Ways")</x:f>
        <x:v>How Editors Cut the Same Scene in 2
Completely Different Ways</x:v>
      </x:c>
      <x:c r="F172" s="44" t="str">
        <x:v>06:47 structure; 13:42 tone; 25:18 pacing; 32:06 spacing</x:v>
      </x:c>
      <x:c r="G172" s="44" t="str">
        <x:v>Contrasting edits isolate decisions about structure, tone and spacing. Produce two defensible assemblies without inventing new source meaning.</x:v>
      </x:c>
      <x:c r="H172" s="44" t="str">
        <x:v>Core lesson</x:v>
      </x:c>
      <x:c r="I172" s="44" t="str">
        <x:v>All genres</x:v>
      </x:c>
      <x:c r="J172" s="44" t="str">
        <x:v>Inside The Edit</x:v>
      </x:c>
      <x:c r="K172" s="44" t="str">
        <x:v>Tool-independent</x:v>
      </x:c>
      <x:c r="L172" s="44" t="str">
        <x:v>Free lesson</x:v>
      </x:c>
      <x:c r="M172" s="78" t="str">
        <x:v>https://www.youtube.com/watch?v=KAO0n3C0kAg</x:v>
      </x:c>
      <x:c r="N172" s="78" t="str">
        <x:v>https://www.youtube.com/watch?v=KAO0n3C0kAg</x:v>
      </x:c>
      <x:c r="O172" s="82" t="str">
        <x:v>Creator description and chapter list reviewed</x:v>
      </x:c>
      <x:c r="P172" s="82" t="str">
        <x:v>Practise the named skill; the video is not evidence of independent competence.</x:v>
      </x:c>
    </x:row>
    <x:row r="173" ht="64" customHeight="1">
      <x:c r="A173" s="66" t="str">
        <x:v>Advanced</x:v>
      </x:c>
      <x:c r="B173" s="103"/>
      <x:c r="C173" s="103"/>
      <x:c r="D173" s="74" t="str">
        <x:v>Controlling pacing across a larger structure</x:v>
      </x:c>
      <x:c r="E173" s="70" t="str">
        <x:f>IFERROR(HYPERLINK(M173,"Pacing in Film Editing — The Framework Pro
Editors Use"),"Pacing in Film Editing — The Framework Pro
Editors Use")</x:f>
        <x:v>Pacing in Film Editing — The Framework Pro
Editors Use</x:v>
      </x:c>
      <x:c r="F173" s="44" t="str">
        <x:v>01:28–07:23 pacing arc; 07:47–18:12 worked scene comparisons</x:v>
      </x:c>
      <x:c r="G173" s="44" t="str">
        <x:v>The pacing-arc explanation and worked comparisons support shaping a whole film, not merely trimming individual clips.</x:v>
      </x:c>
      <x:c r="H173" s="44" t="str">
        <x:v>Core lesson</x:v>
      </x:c>
      <x:c r="I173" s="44" t="str">
        <x:v>All genres</x:v>
      </x:c>
      <x:c r="J173" s="44" t="str">
        <x:v>Inside The Edit</x:v>
      </x:c>
      <x:c r="K173" s="44" t="str">
        <x:v>Tool-independent</x:v>
      </x:c>
      <x:c r="L173" s="44" t="str">
        <x:v>Free lesson</x:v>
      </x:c>
      <x:c r="M173" s="78" t="str">
        <x:v>https://www.youtube.com/watch?v=bCVeyUFGxi8</x:v>
      </x:c>
      <x:c r="N173" s="78" t="str">
        <x:v>https://www.youtube.com/watch?v=bCVeyUFGxi8</x:v>
      </x:c>
      <x:c r="O173" s="82" t="str">
        <x:v>Creator description and chapter list reviewed</x:v>
      </x:c>
      <x:c r="P173" s="82" t="str">
        <x:v>Practise the named skill; the video is not evidence of independent competence.</x:v>
      </x:c>
    </x:row>
    <x:row r="174" ht="64" customHeight="1">
      <x:c r="A174" s="66" t="str">
        <x:v>Advanced</x:v>
      </x:c>
      <x:c r="B174" s="103"/>
      <x:c r="C174" s="103"/>
      <x:c r="D174" s="74" t="str">
        <x:v>Prioritising emotion, story and rhythm when choosing cuts</x:v>
      </x:c>
      <x:c r="E174" s="70" t="str">
        <x:f>IFERROR(HYPERLINK(M174,"The Book Every Editor Has to Read — Walter
Murch and In the Blink of an Eye"),"The Book Every Editor Has to Read — Walter
Murch and In the Blink of an Eye")</x:f>
        <x:v>The Book Every Editor Has to Read — Walter
Murch and In the Blink of an Eye</x:v>
      </x:c>
      <x:c r="F174" s="44" t="str">
        <x:v>Whole focused lesson; no chapter markers verified</x:v>
      </x:c>
      <x:c r="G174" s="44" t="str">
        <x:v>The Murch discussion offers an editorial decision framework. Use it to defend a revision while keeping the brief and genre in view.</x:v>
      </x:c>
      <x:c r="H174" s="44" t="str">
        <x:v>Core lesson</x:v>
      </x:c>
      <x:c r="I174" s="44" t="str">
        <x:v>All genres</x:v>
      </x:c>
      <x:c r="J174" s="44" t="str">
        <x:v>StudioBinder</x:v>
      </x:c>
      <x:c r="K174" s="44" t="str">
        <x:v>Tool-independent</x:v>
      </x:c>
      <x:c r="L174" s="44" t="str">
        <x:v>Free lesson</x:v>
      </x:c>
      <x:c r="M174" s="78" t="str">
        <x:v>https://www.youtube.com/watch?v=PKYeClvvlTw</x:v>
      </x:c>
      <x:c r="N174" s="78" t="str">
        <x:v>https://www.studiobinder.com/blog/walter-murch-rule-of-six/</x:v>
      </x:c>
      <x:c r="O174" s="82" t="str">
        <x:v>Publisher video page and accompanying explanation reviewed</x:v>
      </x:c>
      <x:c r="P174" s="82" t="str">
        <x:v>An editorial heuristic, not a mandatory scoring formula.</x:v>
      </x:c>
    </x:row>
    <x:row r="175" ht="64" customHeight="1">
      <x:c r="A175" s="66" t="str">
        <x:v>Advanced</x:v>
      </x:c>
      <x:c r="B175" s="103"/>
      <x:c r="C175" s="103"/>
      <x:c r="D175" s="74" t="str">
        <x:v>Collaborating with an editor on documentary structure</x:v>
      </x:c>
      <x:c r="E175" s="70" t="str">
        <x:f>IFERROR(HYPERLINK(M175,"Documentary: Finding and Shaping Your Story"),"Documentary: Finding and Shaping Your Story")</x:f>
        <x:v>Documentary: Finding and Shaping Your Story</x:v>
      </x:c>
      <x:c r="F175" s="44" t="str">
        <x:v>1:37:00 postproduction structure; 1:54:00 editor collaboration; 2:12:00 working edit</x:v>
      </x:c>
      <x:c r="G175" s="44" t="str">
        <x:v>The named postproduction chapters address narrative shaping and editor collaboration. Use them to reflect on conflicting structural notes.</x:v>
      </x:c>
      <x:c r="H175" s="44" t="str">
        <x:v>Optional paid lesson</x:v>
      </x:c>
      <x:c r="I175" s="44" t="str">
        <x:v>Documentary</x:v>
      </x:c>
      <x:c r="J175" s="44" t="str">
        <x:v>Sundance Collab / Roger Ross Williams</x:v>
      </x:c>
      <x:c r="K175" s="44" t="str">
        <x:v>Tool-independent</x:v>
      </x:c>
      <x:c r="L175" s="62" t="str">
        <x:v>Paid / subscription</x:v>
      </x:c>
      <x:c r="M175" s="78" t="str">
        <x:v>https://collab.sundance.org/catalog/Master-Class-Archive-Video-Doc-Filmmaking-Finding-and-Shaping-Your-Story-with-Roger-Ross-Williams</x:v>
      </x:c>
      <x:c r="N175" s="78" t="str">
        <x:v>https://collab.sundance.org/catalog/Master-Class-Archive-Video-Doc-Filmmaking-Finding-and-Shaping-Your-Story-with-Roger-Ross-Williams</x:v>
      </x:c>
      <x:c r="O175" s="82" t="str">
        <x:v>Publisher syllabus and named sections reviewed; paid lessons not accessed</x:v>
      </x:c>
      <x:c r="P175" s="82" t="str">
        <x:v>Optional paid resource. Only the named section is assigned; full course and playback not audited.</x:v>
      </x:c>
    </x:row>
    <x:row r="176" ht="72" customHeight="1">
      <x:c r="A176" s="66" t="str">
        <x:v>Advanced</x:v>
      </x:c>
      <x:c r="B176" s="103" t="str">
        <x:v>A10
Sound editing, design and final mixing</x:v>
      </x:c>
      <x:c r="C176" s="103"/>
      <x:c r="D176" s="75" t="str">
        <x:v>Building and refining a controlled multi-track mix</x:v>
      </x:c>
      <x:c r="E176" s="71" t="str">
        <x:f>IFERROR(HYPERLINK(M176,"Audio editing &amp; mixing"),"Audio editing &amp; mixing")</x:f>
        <x:v>Audio editing &amp; mixing</x:v>
      </x:c>
      <x:c r="F176" s="52" t="str">
        <x:v>Audio editing and mixing; no chapter timing verified</x:v>
      </x:c>
      <x:c r="G176" s="52" t="str">
        <x:v>The audio-editing and mixing workshop supports deliberate processing and balancing. Submit the original and processed passage with a record of decisions.</x:v>
      </x:c>
      <x:c r="H176" s="52" t="str">
        <x:v>Core lesson</x:v>
      </x:c>
      <x:c r="I176" s="52" t="str">
        <x:v>All genres</x:v>
      </x:c>
      <x:c r="J176" s="52" t="str">
        <x:v>Adobe / John Knowles</x:v>
      </x:c>
      <x:c r="K176" s="52" t="str">
        <x:v>Premiere Pro</x:v>
      </x:c>
      <x:c r="L176" s="52" t="str">
        <x:v>Free lesson</x:v>
      </x:c>
      <x:c r="M176" s="79" t="str">
        <x:v>https://adobevideotraining.com/video/audio-editing-mixing/</x:v>
      </x:c>
      <x:c r="N176" s="79" t="str">
        <x:v>https://adobevideotraining.com/video/audio-editing-mixing/</x:v>
      </x:c>
      <x:c r="O176" s="83" t="str">
        <x:v>Publisher video description/syllabus reviewed; not full playback</x:v>
      </x:c>
      <x:c r="P176" s="83" t="str">
        <x:v>Use the installed-version controls. The publisher synopsis was reviewed; full playback was not audited.</x:v>
      </x:c>
    </x:row>
    <x:row r="177" ht="72" customHeight="1">
      <x:c r="A177" s="66" t="str">
        <x:v>Advanced</x:v>
      </x:c>
      <x:c r="B177" s="103"/>
      <x:c r="C177" s="103"/>
      <x:c r="D177" s="75" t="str">
        <x:v>Automation and sound-design mixing</x:v>
      </x:c>
      <x:c r="E177" s="71" t="str">
        <x:f>IFERROR(HYPERLINK(M177,"Fundamentals of Mixing Sound in Fairlight —
selected lessons"),"Fundamentals of Mixing Sound in Fairlight —
selected lessons")</x:f>
        <x:v>Fundamentals of Mixing Sound in Fairlight —
selected lessons</x:v>
      </x:c>
      <x:c r="F177" s="52" t="str">
        <x:v>Mixing: Automation (9:32 lesson) and Sound Design (17:33 lesson)</x:v>
      </x:c>
      <x:c r="G177" s="52" t="str">
        <x:v>These named lessons teach dynamic level control and basic sound design. Apply the method to a sequence with competing sound elements.</x:v>
      </x:c>
      <x:c r="H177" s="52" t="str">
        <x:v>Optional paid lesson</x:v>
      </x:c>
      <x:c r="I177" s="52" t="str">
        <x:v>All genres</x:v>
      </x:c>
      <x:c r="J177" s="52" t="str">
        <x:v>Curtis Judd</x:v>
      </x:c>
      <x:c r="K177" s="52" t="str">
        <x:v>DaVinci Resolve / Fairlight 18–19</x:v>
      </x:c>
      <x:c r="L177" s="62" t="str">
        <x:v>Paid / subscription</x:v>
      </x:c>
      <x:c r="M177" s="79" t="str">
        <x:v>https://school.learnlightandsound.com/p/fairlight-fundamentals-mixing-dialogue-in-fairlight</x:v>
      </x:c>
      <x:c r="N177" s="79" t="str">
        <x:v>https://school.learnlightandsound.com/p/fairlight-fundamentals-mixing-dialogue-in-fairlight</x:v>
      </x:c>
      <x:c r="O177" s="83" t="str">
        <x:v>Publisher's named-lesson syllabus reviewed; paid videos not accessed</x:v>
      </x:c>
      <x:c r="P177" s="83" t="str">
        <x:v>Optional paid training. Older interface; the named skill remains the reason for inclusion. Numbers are lesson durations, not timestamps within the course page.</x:v>
      </x:c>
    </x:row>
    <x:row r="178" ht="64" customHeight="1">
      <x:c r="A178" s="66" t="str">
        <x:v>Advanced</x:v>
      </x:c>
      <x:c r="B178" s="103"/>
      <x:c r="C178" s="103"/>
      <x:c r="D178" s="75" t="str">
        <x:v>Finishing and loudness normalisation</x:v>
      </x:c>
      <x:c r="E178" s="71" t="str">
        <x:f>IFERROR(HYPERLINK(M178,"Fundamentals of Mixing Sound in Fairlight —
selected lessons"),"Fundamentals of Mixing Sound in Fairlight —
selected lessons")</x:f>
        <x:v>Fundamentals of Mixing Sound in Fairlight —
selected lessons</x:v>
      </x:c>
      <x:c r="F178" s="52" t="str">
        <x:v>Finishing: Leveling and Cleanup; Loudness Normalize in Fairlight</x:v>
      </x:c>
      <x:c r="G178" s="52" t="str">
        <x:v>The finishing lessons address cleanup and final loudness. Compare the result against the provided delivery specification, not a universal preset.</x:v>
      </x:c>
      <x:c r="H178" s="52" t="str">
        <x:v>Optional paid lesson</x:v>
      </x:c>
      <x:c r="I178" s="52" t="str">
        <x:v>All genres</x:v>
      </x:c>
      <x:c r="J178" s="52" t="str">
        <x:v>Curtis Judd</x:v>
      </x:c>
      <x:c r="K178" s="52" t="str">
        <x:v>DaVinci Resolve / Fairlight 18–19</x:v>
      </x:c>
      <x:c r="L178" s="62" t="str">
        <x:v>Paid / subscription</x:v>
      </x:c>
      <x:c r="M178" s="79" t="str">
        <x:v>https://school.learnlightandsound.com/p/fairlight-fundamentals-mixing-dialogue-in-fairlight</x:v>
      </x:c>
      <x:c r="N178" s="79" t="str">
        <x:v>https://school.learnlightandsound.com/p/fairlight-fundamentals-mixing-dialogue-in-fairlight</x:v>
      </x:c>
      <x:c r="O178" s="83" t="str">
        <x:v>Publisher's named-lesson syllabus reviewed; paid videos not accessed</x:v>
      </x:c>
      <x:c r="P178" s="83" t="str">
        <x:v>Optional paid training. Older interface; the named skill remains the reason for inclusion.</x:v>
      </x:c>
    </x:row>
    <x:row r="179" ht="64" customHeight="1">
      <x:c r="A179" s="66" t="str">
        <x:v>Advanced</x:v>
      </x:c>
      <x:c r="B179" s="103" t="str">
        <x:v>A11
Colour management, matching and look development</x:v>
      </x:c>
      <x:c r="C179" s="103"/>
      <x:c r="D179" s="74" t="str">
        <x:v>Managing source, working and output colour</x:v>
      </x:c>
      <x:c r="E179" s="70" t="str">
        <x:f>IFERROR(HYPERLINK(M179,"Color Management"),"Color Management")</x:f>
        <x:v>Color Management</x:v>
      </x:c>
      <x:c r="F179" s="44" t="str">
        <x:v>Whole focused lesson; no chapter markers verified</x:v>
      </x:c>
      <x:c r="G179" s="44" t="str">
        <x:v>Directly addresses the controlled colour pipeline. Document the input and output handling for mixed-source footage.</x:v>
      </x:c>
      <x:c r="H179" s="44" t="str">
        <x:v>Core lesson</x:v>
      </x:c>
      <x:c r="I179" s="44" t="str">
        <x:v>All genres</x:v>
      </x:c>
      <x:c r="J179" s="44" t="str">
        <x:v>Adobe / Karl Soule</x:v>
      </x:c>
      <x:c r="K179" s="44" t="str">
        <x:v>Premiere Pro</x:v>
      </x:c>
      <x:c r="L179" s="44" t="str">
        <x:v>Free lesson</x:v>
      </x:c>
      <x:c r="M179" s="78" t="str">
        <x:v>https://adobevideotraining.com/video/color-management/</x:v>
      </x:c>
      <x:c r="N179" s="78" t="str">
        <x:v>https://adobevideotraining.com/video/color-management/</x:v>
      </x:c>
      <x:c r="O179" s="82" t="str">
        <x:v>Publisher video description/syllabus reviewed; not full playback</x:v>
      </x:c>
      <x:c r="P179" s="82" t="str">
        <x:v>Use the installed-version controls. The publisher synopsis was reviewed; full playback was not audited.</x:v>
      </x:c>
    </x:row>
    <x:row r="180" ht="64" customHeight="1">
      <x:c r="A180" s="66" t="str">
        <x:v>Advanced</x:v>
      </x:c>
      <x:c r="B180" s="103"/>
      <x:c r="C180" s="103"/>
      <x:c r="D180" s="74" t="str">
        <x:v>Node-level transforms and unknown source material</x:v>
      </x:c>
      <x:c r="E180" s="70" t="str">
        <x:f>IFERROR(HYPERLINK(M180,"The Pro Colorist Guide to Color Management
in 2024"),"The Pro Colorist Guide to Color Management
in 2024")</x:f>
        <x:v>The Pro Colorist Guide to Color Management
in 2024</x:v>
      </x:c>
      <x:c r="F180" s="44" t="str">
        <x:v>24:55 CST settings; 32:10 unknown source; 1:25:29 node-level workflow</x:v>
      </x:c>
      <x:c r="G180" s="44" t="str">
        <x:v>The colour-management chapters explain transform choices and source ambiguity. Test a mixed-source sequence and record assumptions.</x:v>
      </x:c>
      <x:c r="H180" s="44" t="str">
        <x:v>Alternative software workflow</x:v>
      </x:c>
      <x:c r="I180" s="44" t="str">
        <x:v>All genres</x:v>
      </x:c>
      <x:c r="J180" s="44" t="str">
        <x:v>Cullen Kelly</x:v>
      </x:c>
      <x:c r="K180" s="44" t="str">
        <x:v>DaVinci Resolve</x:v>
      </x:c>
      <x:c r="L180" s="44" t="str">
        <x:v>Free lesson</x:v>
      </x:c>
      <x:c r="M180" s="78" t="str">
        <x:v>https://www.youtube.com/watch?v=JpRuQQ__-YA</x:v>
      </x:c>
      <x:c r="N180" s="78" t="str">
        <x:v>https://www.youtube.com/watch?v=JpRuQQ__-YA</x:v>
      </x:c>
      <x:c r="O180" s="82" t="str">
        <x:v>Creator description and detailed chapter list reviewed</x:v>
      </x:c>
      <x:c r="P180" s="82" t="str">
        <x:v>Resolve demonstration recorded in 2024. Apply the colour-science principles; verify version-specific controls and display assumptions.</x:v>
      </x:c>
    </x:row>
    <x:row r="181" ht="64" customHeight="1">
      <x:c r="A181" s="66" t="str">
        <x:v>Advanced</x:v>
      </x:c>
      <x:c r="B181" s="103"/>
      <x:c r="C181" s="103"/>
      <x:c r="D181" s="74" t="str">
        <x:v>Matching and curve adjustments within a finished sequence</x:v>
      </x:c>
      <x:c r="E181" s="70" t="str">
        <x:f>IFERROR(HYPERLINK(M181,"Create a professional look using Color
Match and Curves"),"Create a professional look using Color
Match and Curves")</x:f>
        <x:v>Create a professional look using Color
Match and Curves</x:v>
      </x:c>
      <x:c r="F181" s="44" t="str">
        <x:v>00:33 matching; 01:11 curves</x:v>
      </x:c>
      <x:c r="G181" s="44" t="str">
        <x:v>Use the specific match/curve operations after the pipeline is controlled. Judge consistency across shots, not just a successful automatic match.</x:v>
      </x:c>
      <x:c r="H181" s="44" t="str">
        <x:v>Targeted technical support</x:v>
      </x:c>
      <x:c r="I181" s="44" t="str">
        <x:v>All genres</x:v>
      </x:c>
      <x:c r="J181" s="44" t="str">
        <x:v>Adobe</x:v>
      </x:c>
      <x:c r="K181" s="44" t="str">
        <x:v>Premiere Pro</x:v>
      </x:c>
      <x:c r="L181" s="44" t="str">
        <x:v>Free lesson</x:v>
      </x:c>
      <x:c r="M181" s="78" t="str">
        <x:v>https://www.adobe.com/learn/premiere-pro/web/color-match-and-curves</x:v>
      </x:c>
      <x:c r="N181" s="78" t="str">
        <x:v>https://www.adobe.com/learn/premiere-pro/web/color-match-and-curves</x:v>
      </x:c>
      <x:c r="O181" s="82" t="str">
        <x:v>Publisher video transcript reviewed</x:v>
      </x:c>
      <x:c r="P181" s="82" t="str">
        <x:v>Practise the named skill; the video is not evidence of independent competence.</x:v>
      </x:c>
    </x:row>
    <x:row r="182" ht="96" customHeight="1">
      <x:c r="A182" s="114" t="str">
        <x:v>Advanced</x:v>
      </x:c>
      <x:c r="B182" s="115"/>
      <x:c r="C182" s="115"/>
      <x:c r="D182" s="107" t="str">
        <x:v>AI-assisted masking for selective finishing</x:v>
      </x:c>
      <x:c r="E182" s="108" t="str">
        <x:f>IFERROR(HYPERLINK(M182,"AI Magic Mask Tutorial: Using a Real Netflix Show"),"AI Magic Mask Tutorial: Using a Real Netflix Show")</x:f>
        <x:v>AI Magic Mask Tutorial: Using a Real Netflix Show</x:v>
      </x:c>
      <x:c r="F182" s="109" t="str">
        <x:v>Whole focused tutorial / case study; chapter timestamps not verified</x:v>
      </x:c>
      <x:c r="G182" s="109" t="str">
        <x:v>Apply masking to production footage and inspect tracking and edges before selective colour adjustments.</x:v>
      </x:c>
      <x:c r="H182" s="109" t="str">
        <x:v>AI hybrid lesson (A-AI04)</x:v>
      </x:c>
      <x:c r="I182" s="109" t="str">
        <x:v>All genres</x:v>
      </x:c>
      <x:c r="J182" s="109" t="str">
        <x:v>Darren Mostyn</x:v>
      </x:c>
      <x:c r="K182" s="109" t="str">
        <x:v>DaVinci Resolve 20 Studio</x:v>
      </x:c>
      <x:c r="L182" s="109" t="str">
        <x:v>Free YouTube video; tool access may be paid</x:v>
      </x:c>
      <x:c r="M182" s="110" t="str">
        <x:v>https://www.youtube.com/watch?v=DmQKedj3r2E</x:v>
      </x:c>
      <x:c r="N182" s="110" t="str">
        <x:v>https://www.youtube.com/watch?v=DmQKedj3r2E</x:v>
      </x:c>
      <x:c r="O182" s="111" t="str">
        <x:v>Description / publisher references reviewed; learner comments and counts unverified</x:v>
      </x:c>
      <x:c r="P182" s="111" t="str">
        <x:v>Studio feature. Inspect mask consistency across the entire shot.</x:v>
      </x:c>
    </x:row>
    <x:row r="183" ht="64" customHeight="1">
      <x:c r="A183" s="66" t="str">
        <x:v>Advanced</x:v>
      </x:c>
      <x:c r="B183" s="103" t="str">
        <x:v>A12
Multi-version delivery, quality control and archiving</x:v>
      </x:c>
      <x:c r="C183" s="103"/>
      <x:c r="D183" s="75" t="str">
        <x:v>Preparing deliverables to an explicit specification</x:v>
      </x:c>
      <x:c r="E183" s="71" t="str">
        <x:f>IFERROR(HYPERLINK(M183,"Exporting &amp; delivering projects"),"Exporting &amp; delivering projects")</x:f>
        <x:v>Exporting &amp; delivering projects</x:v>
      </x:c>
      <x:c r="F183" s="52" t="str">
        <x:v>Whole focused lesson; no chapter markers verified</x:v>
      </x:c>
      <x:c r="G183" s="52" t="str">
        <x:v>Use the export workshop to configure each agreed version. Check the exported files for image, sound and completeness before handing over.</x:v>
      </x:c>
      <x:c r="H183" s="52" t="str">
        <x:v>Core lesson</x:v>
      </x:c>
      <x:c r="I183" s="52" t="str">
        <x:v>All genres</x:v>
      </x:c>
      <x:c r="J183" s="52" t="str">
        <x:v>Adobe Video Training</x:v>
      </x:c>
      <x:c r="K183" s="52" t="str">
        <x:v>Premiere Pro</x:v>
      </x:c>
      <x:c r="L183" s="52" t="str">
        <x:v>Free lesson</x:v>
      </x:c>
      <x:c r="M183" s="79" t="str">
        <x:v>https://adobevideotraining.com/video/exporting-delivering-projects/</x:v>
      </x:c>
      <x:c r="N183" s="79" t="str">
        <x:v>https://adobevideotraining.com/video/exporting-delivering-projects/</x:v>
      </x:c>
      <x:c r="O183" s="83" t="str">
        <x:v>Publisher video description/syllabus reviewed; not full playback</x:v>
      </x:c>
      <x:c r="P183" s="83" t="str">
        <x:v>Use the installed-version controls. The publisher synopsis was reviewed; full playback was not audited.</x:v>
      </x:c>
    </x:row>
    <x:row r="184" ht="64" customHeight="1">
      <x:c r="A184" s="66" t="str">
        <x:v>Advanced</x:v>
      </x:c>
      <x:c r="B184" s="103"/>
      <x:c r="C184" s="103"/>
      <x:c r="D184" s="75" t="str">
        <x:v>Versioned review and final approval handover</x:v>
      </x:c>
      <x:c r="E184" s="71" t="str">
        <x:f>IFERROR(HYPERLINK(M184,"Enhance your review process with Frame.io"),"Enhance your review process with Frame.io")</x:f>
        <x:v>Enhance your review process with Frame.io</x:v>
      </x:c>
      <x:c r="F184" s="52" t="str">
        <x:v>00:30 upload; timecoded feedback; new-version workflow</x:v>
      </x:c>
      <x:c r="G184" s="52" t="str">
        <x:v>The review demonstration shows how comments and revisions stay connected. Record the approved version and avoid ambiguous final-file names.</x:v>
      </x:c>
      <x:c r="H184" s="52" t="str">
        <x:v>Core lesson</x:v>
      </x:c>
      <x:c r="I184" s="52" t="str">
        <x:v>All genres</x:v>
      </x:c>
      <x:c r="J184" s="52" t="str">
        <x:v>Adobe / Sarah John</x:v>
      </x:c>
      <x:c r="K184" s="52" t="str">
        <x:v>Premiere / Frame.io</x:v>
      </x:c>
      <x:c r="L184" s="52" t="str">
        <x:v>Free lesson</x:v>
      </x:c>
      <x:c r="M184" s="79" t="str">
        <x:v>https://www.adobe.com/learn/premiere-pro/web/team-review-with-frame-io</x:v>
      </x:c>
      <x:c r="N184" s="79" t="str">
        <x:v>https://www.adobe.com/learn/premiere-pro/web/team-review-with-frame-io</x:v>
      </x:c>
      <x:c r="O184" s="83" t="str">
        <x:v>Publisher video transcript reviewed</x:v>
      </x:c>
      <x:c r="P184" s="83" t="str">
        <x:v>Legacy/V4 panel locations differ. Teaches review mechanics, not creative-note judgement.</x:v>
      </x:c>
    </x:row>
    <x:row r="185" ht="64" customHeight="1">
      <x:c r="A185" s="66" t="str">
        <x:v>Advanced</x:v>
      </x:c>
      <x:c r="B185" s="103"/>
      <x:c r="C185" s="103"/>
      <x:c r="D185" s="75" t="str">
        <x:v>Inspecting alternate aspect-ratio deliveries</x:v>
      </x:c>
      <x:c r="E185" s="71" t="str">
        <x:f>IFERROR(HYPERLINK(M185,"Reframe your video for multiple social
platforms"),"Reframe your video for multiple social
platforms")</x:f>
        <x:v>Reframe your video for multiple social
platforms</x:v>
      </x:c>
      <x:c r="F185" s="52" t="str">
        <x:v>00:31 Auto Reframe; 01:06 refine using position/scale keyframes</x:v>
      </x:c>
      <x:c r="G185" s="52" t="str">
        <x:v>Reframing and manual correction support the alternate-format deliverable. Check every shot and graphic rather than trusting automatic centring.</x:v>
      </x:c>
      <x:c r="H185" s="52" t="str">
        <x:v>Conditional delivery support</x:v>
      </x:c>
      <x:c r="I185" s="52" t="str">
        <x:v>All genres</x:v>
      </x:c>
      <x:c r="J185" s="52" t="str">
        <x:v>Adobe / Jay Espitia-Pierluissi</x:v>
      </x:c>
      <x:c r="K185" s="52" t="str">
        <x:v>Premiere</x:v>
      </x:c>
      <x:c r="L185" s="52" t="str">
        <x:v>Free lesson</x:v>
      </x:c>
      <x:c r="M185" s="79" t="str">
        <x:v>https://www.adobe.com/learn/premiere-pro/web/auto-reframe-for-socials</x:v>
      </x:c>
      <x:c r="N185" s="79" t="str">
        <x:v>https://www.adobe.com/learn/premiere-pro/web/auto-reframe-for-socials</x:v>
      </x:c>
      <x:c r="O185" s="83" t="str">
        <x:v>Publisher video transcript reviewed</x:v>
      </x:c>
      <x:c r="P185" s="83" t="str">
        <x:v>Changes framing, not the script, hook or narrative. Manually inspect the entire reframed output.</x:v>
      </x:c>
    </x:row>
    <x:row r="186" ht="84" customHeight="1">
      <x:c r="A186" s="66" t="str">
        <x:v>Advanced</x:v>
      </x:c>
      <x:c r="B186" s="103"/>
      <x:c r="C186" s="103"/>
      <x:c r="D186" s="75" t="str">
        <x:v>Planning preservation beyond project completion</x:v>
      </x:c>
      <x:c r="E186" s="71" t="str">
        <x:f>IFERROR(HYPERLINK(M186,"Planning to Preserve Video for Human Rights"),"Planning to Preserve Video for Human Rights")</x:f>
        <x:v>Planning to Preserve Video for Human Rights</x:v>
      </x:c>
      <x:c r="F186" s="52" t="str">
        <x:v>Named video: Planning to Preserve Video for Human Rights</x:v>
      </x:c>
      <x:c r="G186" s="52" t="str">
        <x:v>The preservation lesson supports deciding what to keep, where and under whose responsibility. Include a readable archive note with the handover.</x:v>
      </x:c>
      <x:c r="H186" s="52" t="str">
        <x:v>Supporting lesson</x:v>
      </x:c>
      <x:c r="I186" s="52" t="str">
        <x:v>All genres</x:v>
      </x:c>
      <x:c r="J186" s="52" t="str">
        <x:v>WITNESS</x:v>
      </x:c>
      <x:c r="K186" s="52" t="str">
        <x:v>Tool-independent</x:v>
      </x:c>
      <x:c r="L186" s="52" t="str">
        <x:v>Free lesson</x:v>
      </x:c>
      <x:c r="M186" s="79" t="str">
        <x:v>https://www.youtube.com/watch?v=9I3P0gI1BkM</x:v>
      </x:c>
      <x:c r="N186" s="79" t="str">
        <x:v>https://www.witness.org/portfolio_page/how-to-preserve-your-videos/</x:v>
      </x:c>
      <x:c r="O186" s="83" t="str">
        <x:v>Publisher identifies video and preservation topics</x:v>
      </x:c>
      <x:c r="P186" s="83" t="str">
        <x:v>Preservation principles; not a demonstrated editing-project relink exercise. Not a tutorial on Project Manager or checksum verification; demonstrate those separately where required.</x:v>
      </x:c>
    </x:row>
    <x:row r="187" ht="64" customHeight="1">
      <x:c r="A187" s="66" t="str">
        <x:v>Advanced</x:v>
      </x:c>
      <x:c r="B187" s="103" t="str">
        <x:v>A13
One advanced specialisation — choose one of eight</x:v>
      </x:c>
      <x:c r="C187" s="103"/>
      <x:c r="D187" s="74" t="str">
        <x:v>Wedding: finding the edit's story and music structure</x:v>
      </x:c>
      <x:c r="E187" s="70" t="str">
        <x:f>IFERROR(HYPERLINK(M187,"Wedding Film Framework — Premiere Pro"),"Wedding Film Framework — Premiere Pro")</x:f>
        <x:v>Wedding Film Framework — Premiere Pro</x:v>
      </x:c>
      <x:c r="F187" s="44" t="str">
        <x:v>Crafting the Foundation of the Edit — story and music lessons</x:v>
      </x:c>
      <x:c r="G187" s="44" t="str">
        <x:v>The named story-building section supports a coherent wedding film. Analyse the relationship between speeches, emotional beats and music.</x:v>
      </x:c>
      <x:c r="H187" s="44" t="str">
        <x:v>Optional paid lesson</x:v>
      </x:c>
      <x:c r="I187" s="44" t="str">
        <x:v>Wedding</x:v>
      </x:c>
      <x:c r="J187" s="44" t="str">
        <x:v>Matt Johnson / WhoisMatt</x:v>
      </x:c>
      <x:c r="K187" s="44" t="str">
        <x:v>Premiere Pro</x:v>
      </x:c>
      <x:c r="L187" s="62" t="str">
        <x:v>Paid / subscription</x:v>
      </x:c>
      <x:c r="M187" s="78" t="str">
        <x:v>https://courses.whoismatt.com/weddingfilmframework</x:v>
      </x:c>
      <x:c r="N187" s="78" t="str">
        <x:v>https://courses.whoismatt.com/weddingfilmframework</x:v>
      </x:c>
      <x:c r="O187" s="82" t="str">
        <x:v>Publisher syllabus and named sections reviewed; paid lessons not accessed</x:v>
      </x:c>
      <x:c r="P187" s="82" t="str">
        <x:v>Optional paid resource. Only the named section is assigned; full course and playback not audited.</x:v>
      </x:c>
    </x:row>
    <x:row r="188" ht="84" customHeight="1">
      <x:c r="A188" s="66" t="str">
        <x:v>Advanced</x:v>
      </x:c>
      <x:c r="B188" s="103"/>
      <x:c r="C188" s="103"/>
      <x:c r="D188" s="74" t="str">
        <x:v>Wedding: coordinated coverage of unrepeatable moments</x:v>
      </x:c>
      <x:c r="E188" s="70" t="str">
        <x:f>IFERROR(HYPERLINK(M188,"How to Film a Wedding Ceremony"),"How to Film a Wedding Ceremony")</x:f>
        <x:v>How to Film a Wedding Ceremony</x:v>
      </x:c>
      <x:c r="F188" s="44" t="str">
        <x:v>Whole focused lesson; no chapter markers verified</x:v>
      </x:c>
      <x:c r="G188" s="44" t="str">
        <x:v>Use the ceremony case to critique a multi-camera and sound plan. Demonstrate who protects the essential moment if another recording fails.</x:v>
      </x:c>
      <x:c r="H188" s="44" t="str">
        <x:v>Selected-pathway case study</x:v>
      </x:c>
      <x:c r="I188" s="44" t="str">
        <x:v>Wedding</x:v>
      </x:c>
      <x:c r="J188" s="44" t="str">
        <x:v>Matt Johnson / WhoisMatt</x:v>
      </x:c>
      <x:c r="K188" s="44" t="str">
        <x:v>Tool-independent</x:v>
      </x:c>
      <x:c r="L188" s="44" t="str">
        <x:v>Free lesson</x:v>
      </x:c>
      <x:c r="M188" s="78" t="str">
        <x:v>https://whoismatt.com/howtofilmaweddingceremony/</x:v>
      </x:c>
      <x:c r="N188" s="78" t="str">
        <x:v>https://whoismatt.com/howtofilmaweddingceremony/</x:v>
      </x:c>
      <x:c r="O188" s="82" t="str">
        <x:v>Creator's detailed lesson breakdown reviewed</x:v>
      </x:c>
      <x:c r="P188" s="82" t="str">
        <x:v>Older equipment examples; adapt to available gear. This is not an equipment-buying recommendation. Advanced task is failure planning and coordination; watching a basic ceremony guide alone is not advanced competence.</x:v>
      </x:c>
    </x:row>
    <x:row r="189" ht="72" customHeight="1">
      <x:c r="A189" s="66" t="str">
        <x:v>Advanced</x:v>
      </x:c>
      <x:c r="B189" s="103"/>
      <x:c r="C189" s="103"/>
      <x:c r="D189" s="74" t="str">
        <x:v>Events: multi-camera responsibilities under solo constraints</x:v>
      </x:c>
      <x:c r="E189" s="70" t="str">
        <x:f>IFERROR(HYPERLINK(M189,"How to Film a Conference — Multiple Cameras
as a Solo Videographer"),"How to Film a Conference — Multiple Cameras
as a Solo Videographer")</x:f>
        <x:v>How to Film a Conference — Multiple Cameras
as a Solo Videographer</x:v>
      </x:c>
      <x:c r="F189" s="44" t="str">
        <x:v>Whole focused lesson; no chapter markers verified</x:v>
      </x:c>
      <x:c r="G189" s="44" t="str">
        <x:v>The conference example directly addresses protecting the long recording and collecting highlights. Rework it into a tested coverage and turnaround plan.</x:v>
      </x:c>
      <x:c r="H189" s="44" t="str">
        <x:v>Selected-pathway case study</x:v>
      </x:c>
      <x:c r="I189" s="44" t="str">
        <x:v>Events</x:v>
      </x:c>
      <x:c r="J189" s="44" t="str">
        <x:v>Video Upskill / Alex</x:v>
      </x:c>
      <x:c r="K189" s="44" t="str">
        <x:v>Tool-independent</x:v>
      </x:c>
      <x:c r="L189" s="44" t="str">
        <x:v>Free lesson</x:v>
      </x:c>
      <x:c r="M189" s="78" t="str">
        <x:v>https://videoupskill.com/how-to-film-a-conference-how-to-shoot-with-multiple-cameras-solo-videography/</x:v>
      </x:c>
      <x:c r="N189" s="78" t="str">
        <x:v>https://videoupskill.com/how-to-film-a-conference-how-to-shoot-with-multiple-cameras-solo-videography/</x:v>
      </x:c>
      <x:c r="O189" s="82" t="str">
        <x:v>Creator lesson page reviewed</x:v>
      </x:c>
      <x:c r="P189" s="82" t="str">
        <x:v>Practise the named skill; the video is not evidence of independent competence.</x:v>
      </x:c>
    </x:row>
    <x:row r="190" ht="64" customHeight="1">
      <x:c r="A190" s="66" t="str">
        <x:v>Advanced</x:v>
      </x:c>
      <x:c r="B190" s="103"/>
      <x:c r="C190" s="103"/>
      <x:c r="D190" s="74" t="str">
        <x:v>Events: synchronisation, device checks and fallback records</x:v>
      </x:c>
      <x:c r="E190" s="70" t="str">
        <x:f>IFERROR(HYPERLINK(M190,"Timecode for Multiple Cameras"),"Timecode for Multiple Cameras")</x:f>
        <x:v>Timecode for Multiple Cameras</x:v>
      </x:c>
      <x:c r="F190" s="44" t="str">
        <x:v>Device inventory; checking sync; slate fallback; sound-report handover</x:v>
      </x:c>
      <x:c r="G190" s="44" t="str">
        <x:v>The multi-device example teaches preparation and recording checks. Use it to validate the event's camera/audio plan before the audience arrives.</x:v>
      </x:c>
      <x:c r="H190" s="44" t="str">
        <x:v>Transferable technical workflow</x:v>
      </x:c>
      <x:c r="I190" s="44" t="str">
        <x:v>Events</x:v>
      </x:c>
      <x:c r="J190" s="44" t="str">
        <x:v>Deity Microphones</x:v>
      </x:c>
      <x:c r="K190" s="44" t="str">
        <x:v>Tool-independent</x:v>
      </x:c>
      <x:c r="L190" s="44" t="str">
        <x:v>Free lesson</x:v>
      </x:c>
      <x:c r="M190" s="78" t="str">
        <x:v>https://deitymic.com/blog/timecode-for-multiple-cameras/</x:v>
      </x:c>
      <x:c r="N190" s="78" t="str">
        <x:v>https://deitymic.com/blog/timecode-for-multiple-cameras/</x:v>
      </x:c>
      <x:c r="O190" s="82" t="str">
        <x:v>Publisher video page and accompanying instructions reviewed</x:v>
      </x:c>
      <x:c r="P190" s="82" t="str">
        <x:v>Product-specific demonstration. Confirm each camera's timecode support; do not generalise vendor gear requirements.</x:v>
      </x:c>
    </x:row>
    <x:row r="191" ht="64" customHeight="1">
      <x:c r="A191" s="66" t="str">
        <x:v>Advanced</x:v>
      </x:c>
      <x:c r="B191" s="103"/>
      <x:c r="C191" s="103"/>
      <x:c r="D191" s="74" t="str">
        <x:v>Corporate: client notes and production decision ownership</x:v>
      </x:c>
      <x:c r="E191" s="70" t="str">
        <x:f>IFERROR(HYPERLINK(M191,"Corporate Video Guide"),"Corporate Video Guide")</x:f>
        <x:v>Corporate Video Guide</x:v>
      </x:c>
      <x:c r="F191" s="44" t="str">
        <x:v>2.12 chain of command; 2.13 client notes; 5.9 listening to clients</x:v>
      </x:c>
      <x:c r="G191" s="44" t="str">
        <x:v>The named chapters address client communication and chain of command. Document how conflicting requests affect scope and approvals.</x:v>
      </x:c>
      <x:c r="H191" s="44" t="str">
        <x:v>Optional paid lesson</x:v>
      </x:c>
      <x:c r="I191" s="44" t="str">
        <x:v>Corporate</x:v>
      </x:c>
      <x:c r="J191" s="44" t="str">
        <x:v>DSLR Video Shooter / Caleb Pike</x:v>
      </x:c>
      <x:c r="K191" s="44" t="str">
        <x:v>Tool-independent</x:v>
      </x:c>
      <x:c r="L191" s="62" t="str">
        <x:v>Paid / subscription</x:v>
      </x:c>
      <x:c r="M191" s="78" t="str">
        <x:v>https://academy.dslrvideoshooter.com/courses/corporate-video-guide</x:v>
      </x:c>
      <x:c r="N191" s="78" t="str">
        <x:v>https://academy.dslrvideoshooter.com/courses/corporate-video-guide</x:v>
      </x:c>
      <x:c r="O191" s="82" t="str">
        <x:v>Publisher syllabus and named sections reviewed; paid lessons not accessed</x:v>
      </x:c>
      <x:c r="P191" s="82" t="str">
        <x:v>Optional paid resource. Only the named section is assigned; full course and playback not audited.</x:v>
      </x:c>
    </x:row>
    <x:row r="192" ht="64" customHeight="1">
      <x:c r="A192" s="66" t="str">
        <x:v>Advanced</x:v>
      </x:c>
      <x:c r="B192" s="103"/>
      <x:c r="C192" s="103"/>
      <x:c r="D192" s="74" t="str">
        <x:v>Corporate: repeatable interview lighting across participants</x:v>
      </x:c>
      <x:c r="E192" s="70" t="str">
        <x:f>IFERROR(HYPERLINK(M192,"How I Light Every Interview (my 10-step
system)"),"How I Light Every Interview (my 10-step
system)")</x:f>
        <x:v>How I Light Every Interview (my 10-step
system)</x:v>
      </x:c>
      <x:c r="F192" s="44" t="str">
        <x:v>13:52 matching; 14:39 stress-test and document</x:v>
      </x:c>
      <x:c r="G192" s="44" t="str">
        <x:v>The matching and documentation steps support a consistent multi-interview look. Test a participant change and record setup adjustments.</x:v>
      </x:c>
      <x:c r="H192" s="44" t="str">
        <x:v>Transferable technical workflow</x:v>
      </x:c>
      <x:c r="I192" s="44" t="str">
        <x:v>Corporate</x:v>
      </x:c>
      <x:c r="J192" s="44" t="str">
        <x:v>Mark Bone</x:v>
      </x:c>
      <x:c r="K192" s="44" t="str">
        <x:v>Tool-independent</x:v>
      </x:c>
      <x:c r="L192" s="44" t="str">
        <x:v>Free lesson</x:v>
      </x:c>
      <x:c r="M192" s="78" t="str">
        <x:v>https://www.youtube.com/watch?v=NOrTSb-kZC4</x:v>
      </x:c>
      <x:c r="N192" s="78" t="str">
        <x:v>https://www.youtube.com/watch?v=NOrTSb-kZC4</x:v>
      </x:c>
      <x:c r="O192" s="82" t="str">
        <x:v>Creator description and chapter list reviewed</x:v>
      </x:c>
      <x:c r="P192" s="82" t="str">
        <x:v>Skip course promotions. Adapt equipment scale to the learner's resources.</x:v>
      </x:c>
    </x:row>
    <x:row r="193" ht="64" customHeight="1">
      <x:c r="A193" s="66" t="str">
        <x:v>Advanced</x:v>
      </x:c>
      <x:c r="B193" s="103"/>
      <x:c r="C193" s="103"/>
      <x:c r="D193" s="74" t="str">
        <x:v>Documentary: ethical decisions during production and editing</x:v>
      </x:c>
      <x:c r="E193" s="70" t="str">
        <x:f>IFERROR(HYPERLINK(M193,"Documentary Filmmaking: Navigating Truth
and Ethics"),"Documentary Filmmaking: Navigating Truth
and Ethics")</x:f>
        <x:v>Documentary Filmmaking: Navigating Truth
and Ethics</x:v>
      </x:c>
      <x:c r="F193" s="44" t="str">
        <x:v>1:42:00 portrayal; 2:23:00 production and postproduction dilemmas</x:v>
      </x:c>
      <x:c r="G193" s="44" t="str">
        <x:v>The specified ethics chapters address portrayal and changing production circumstances. Record how one editorial decision affects the participant.</x:v>
      </x:c>
      <x:c r="H193" s="44" t="str">
        <x:v>Optional paid lesson</x:v>
      </x:c>
      <x:c r="I193" s="44" t="str">
        <x:v>Documentary</x:v>
      </x:c>
      <x:c r="J193" s="44" t="str">
        <x:v>Sundance Collab / Dawn Porter</x:v>
      </x:c>
      <x:c r="K193" s="44" t="str">
        <x:v>Tool-independent</x:v>
      </x:c>
      <x:c r="L193" s="62" t="str">
        <x:v>Paid / subscription</x:v>
      </x:c>
      <x:c r="M193" s="78" t="str">
        <x:v>https://collab.sundance.org/catalog/Master-Class-Documentary-Filmmaking-Navigating-Truth-and-Ethics-with-Dawn-Porter-Video</x:v>
      </x:c>
      <x:c r="N193" s="78" t="str">
        <x:v>https://collab.sundance.org/catalog/Master-Class-Documentary-Filmmaking-Navigating-Truth-and-Ethics-with-Dawn-Porter-Video</x:v>
      </x:c>
      <x:c r="O193" s="82" t="str">
        <x:v>Publisher syllabus and named sections reviewed; paid lessons not accessed</x:v>
      </x:c>
      <x:c r="P193" s="82" t="str">
        <x:v>Optional paid resource. Only the named section is assigned; full course and playback not audited.</x:v>
      </x:c>
    </x:row>
    <x:row r="194" ht="64" customHeight="1">
      <x:c r="A194" s="66" t="str">
        <x:v>Advanced</x:v>
      </x:c>
      <x:c r="B194" s="103"/>
      <x:c r="C194" s="103"/>
      <x:c r="D194" s="74" t="str">
        <x:v>Documentary: point of view, character scenes and structure</x:v>
      </x:c>
      <x:c r="E194" s="70" t="str">
        <x:f>IFERROR(HYPERLINK(M194,"Documentary: Finding and Shaping Your Story"),"Documentary: Finding and Shaping Your Story")</x:f>
        <x:v>Documentary: Finding and Shaping Your Story</x:v>
      </x:c>
      <x:c r="F194" s="44" t="str">
        <x:v>35:00 point of view; 1:37:00 structure; 2:24:00 character scenes</x:v>
      </x:c>
      <x:c r="G194" s="44" t="str">
        <x:v>The named story and postproduction chapters support an evidence-led film. Explain why selected scenes belong in the final structure.</x:v>
      </x:c>
      <x:c r="H194" s="44" t="str">
        <x:v>Optional paid lesson</x:v>
      </x:c>
      <x:c r="I194" s="44" t="str">
        <x:v>Documentary</x:v>
      </x:c>
      <x:c r="J194" s="44" t="str">
        <x:v>Sundance Collab / Roger Ross Williams</x:v>
      </x:c>
      <x:c r="K194" s="44" t="str">
        <x:v>Tool-independent</x:v>
      </x:c>
      <x:c r="L194" s="62" t="str">
        <x:v>Paid / subscription</x:v>
      </x:c>
      <x:c r="M194" s="78" t="str">
        <x:v>https://collab.sundance.org/catalog/Master-Class-Archive-Video-Doc-Filmmaking-Finding-and-Shaping-Your-Story-with-Roger-Ross-Williams</x:v>
      </x:c>
      <x:c r="N194" s="78" t="str">
        <x:v>https://collab.sundance.org/catalog/Master-Class-Archive-Video-Doc-Filmmaking-Finding-and-Shaping-Your-Story-with-Roger-Ross-Williams</x:v>
      </x:c>
      <x:c r="O194" s="82" t="str">
        <x:v>Publisher syllabus and named sections reviewed; paid lessons not accessed</x:v>
      </x:c>
      <x:c r="P194" s="82" t="str">
        <x:v>Optional paid resource. Only the named section is assigned; full course and playback not audited.</x:v>
      </x:c>
    </x:row>
    <x:row r="195" ht="72" customHeight="1">
      <x:c r="A195" s="66" t="str">
        <x:v>Advanced</x:v>
      </x:c>
      <x:c r="B195" s="103"/>
      <x:c r="C195" s="103"/>
      <x:c r="D195" s="74" t="str">
        <x:v>Social media: testing meaningfully different creative versions</x:v>
      </x:c>
      <x:c r="E195" s="70" t="str">
        <x:f>IFERROR(HYPERLINK(M195,"How Editors Cut the Same Scene in 2
Completely Different Ways"),"How Editors Cut the Same Scene in 2
Completely Different Ways")</x:f>
        <x:v>How Editors Cut the Same Scene in 2
Completely Different Ways</x:v>
      </x:c>
      <x:c r="F195" s="44" t="str">
        <x:v>06:47 structure; 13:42 tone; 25:18 pacing</x:v>
      </x:c>
      <x:c r="G195" s="44" t="str">
        <x:v>The same-footage comparison demonstrates genuine editorial alternatives. Apply the method to different openings and tone in the content series.</x:v>
      </x:c>
      <x:c r="H195" s="44" t="str">
        <x:v>Transferable editorial method</x:v>
      </x:c>
      <x:c r="I195" s="44" t="str">
        <x:v>Social media</x:v>
      </x:c>
      <x:c r="J195" s="44" t="str">
        <x:v>Inside The Edit</x:v>
      </x:c>
      <x:c r="K195" s="44" t="str">
        <x:v>Tool-independent</x:v>
      </x:c>
      <x:c r="L195" s="44" t="str">
        <x:v>Free lesson</x:v>
      </x:c>
      <x:c r="M195" s="78" t="str">
        <x:v>https://www.youtube.com/watch?v=KAO0n3C0kAg</x:v>
      </x:c>
      <x:c r="N195" s="78" t="str">
        <x:v>https://www.youtube.com/watch?v=KAO0n3C0kAg</x:v>
      </x:c>
      <x:c r="O195" s="82" t="str">
        <x:v>Creator description and chapter list reviewed</x:v>
      </x:c>
      <x:c r="P195" s="82" t="str">
        <x:v>Documentary-edit example, not social-platform performance evidence. Audience testing remains the learner's separate assignment.</x:v>
      </x:c>
    </x:row>
    <x:row r="196" ht="64" customHeight="1">
      <x:c r="A196" s="66" t="str">
        <x:v>Advanced</x:v>
      </x:c>
      <x:c r="B196" s="103"/>
      <x:c r="C196" s="103"/>
      <x:c r="D196" s="74" t="str">
        <x:v>Social media: reliable multi-format composition</x:v>
      </x:c>
      <x:c r="E196" s="70" t="str">
        <x:f>IFERROR(HYPERLINK(M196,"Reframe your video for multiple social
platforms"),"Reframe your video for multiple social
platforms")</x:f>
        <x:v>Reframe your video for multiple social
platforms</x:v>
      </x:c>
      <x:c r="F196" s="44" t="str">
        <x:v>00:31 Auto Reframe; 01:06 refine using position/scale keyframes</x:v>
      </x:c>
      <x:c r="G196" s="44" t="str">
        <x:v>The reframe-and-refine workflow supports deliberate platform versions. Check each output instead of assuming one crop fits the series.</x:v>
      </x:c>
      <x:c r="H196" s="44" t="str">
        <x:v>Selected-pathway technical lesson</x:v>
      </x:c>
      <x:c r="I196" s="44" t="str">
        <x:v>Social media</x:v>
      </x:c>
      <x:c r="J196" s="44" t="str">
        <x:v>Adobe / Jay Espitia-Pierluissi</x:v>
      </x:c>
      <x:c r="K196" s="44" t="str">
        <x:v>Premiere</x:v>
      </x:c>
      <x:c r="L196" s="44" t="str">
        <x:v>Free lesson</x:v>
      </x:c>
      <x:c r="M196" s="78" t="str">
        <x:v>https://www.adobe.com/learn/premiere-pro/web/auto-reframe-for-socials</x:v>
      </x:c>
      <x:c r="N196" s="78" t="str">
        <x:v>https://www.adobe.com/learn/premiere-pro/web/auto-reframe-for-socials</x:v>
      </x:c>
      <x:c r="O196" s="82" t="str">
        <x:v>Publisher video transcript reviewed</x:v>
      </x:c>
      <x:c r="P196" s="82" t="str">
        <x:v>Changes framing, not the script, hook or narrative. Manually inspect the entire reframed output.</x:v>
      </x:c>
    </x:row>
    <x:row r="197" ht="84" customHeight="1">
      <x:c r="A197" s="66" t="str">
        <x:v>Advanced</x:v>
      </x:c>
      <x:c r="B197" s="103"/>
      <x:c r="C197" s="103"/>
      <x:c r="D197" s="74" t="str">
        <x:v>Social media: testing hook and payoff alignment</x:v>
      </x:c>
      <x:c r="E197" s="70" t="str">
        <x:f>IFERROR(HYPERLINK(M197,"How to HOOK Your Viewer in 5 Seconds —
Video Hook Strategy"),"How to HOOK Your Viewer in 5 Seconds —
Video Hook Strategy")</x:f>
        <x:v>How to HOOK Your Viewer in 5 Seconds —
Video Hook Strategy</x:v>
      </x:c>
      <x:c r="F197" s="44" t="str">
        <x:v>03:07–05:20 worked hook examples</x:v>
      </x:c>
      <x:c r="G197" s="44" t="str">
        <x:v>The worked examples provide specific opening choices to vary in the content series. Explain the hypothesis and assess whether the final video delivers its promise.</x:v>
      </x:c>
      <x:c r="H197" s="44" t="str">
        <x:v>Selected-pathway creative exercise</x:v>
      </x:c>
      <x:c r="I197" s="44" t="str">
        <x:v>Social media</x:v>
      </x:c>
      <x:c r="J197" s="44" t="str">
        <x:v>Kapwing</x:v>
      </x:c>
      <x:c r="K197" s="44" t="str">
        <x:v>Tool-independent</x:v>
      </x:c>
      <x:c r="L197" s="44" t="str">
        <x:v>Free lesson</x:v>
      </x:c>
      <x:c r="M197" s="78" t="str">
        <x:v>https://www.youtube.com/watch?v=g99k86QzyDk</x:v>
      </x:c>
      <x:c r="N197" s="78" t="str">
        <x:v>https://www.youtube.com/watch?v=g99k86QzyDk</x:v>
      </x:c>
      <x:c r="O197" s="82" t="str">
        <x:v>Creator description and chapter list reviewed</x:v>
      </x:c>
      <x:c r="P197" s="82" t="str">
        <x:v>Marketing advice, not a retention guarantee; tools shown are optional. Testing design is the advanced application; the source does not demonstrate statistical campaign measurement.</x:v>
      </x:c>
    </x:row>
    <x:row r="198" ht="84" customHeight="1">
      <x:c r="A198" s="66" t="str">
        <x:v>Advanced</x:v>
      </x:c>
      <x:c r="B198" s="103"/>
      <x:c r="C198" s="103"/>
      <x:c r="D198" s="74" t="str">
        <x:v>YouTube: evaluating the pilot's retention risks</x:v>
      </x:c>
      <x:c r="E198" s="70" t="str">
        <x:f>IFERROR(HYPERLINK(M198,"6 Tips for Better Audience Retention!"),"6 Tips for Better Audience Retention!")</x:f>
        <x:v>6 Tips for Better Audience Retention!</x:v>
      </x:c>
      <x:c r="F198" s="44" t="str">
        <x:v>Audience-retention advice; no chapter markers verified</x:v>
      </x:c>
      <x:c r="G198" s="44" t="str">
        <x:v>Use the editorial retention advice to critique the pilot and plan a revised opening. Treat the reasoning as a hypothesis to test.</x:v>
      </x:c>
      <x:c r="H198" s="44" t="str">
        <x:v>Selected-pathway lesson</x:v>
      </x:c>
      <x:c r="I198" s="44" t="str">
        <x:v>YouTube</x:v>
      </x:c>
      <x:c r="J198" s="44" t="str">
        <x:v>Creator Insider</x:v>
      </x:c>
      <x:c r="K198" s="44" t="str">
        <x:v>Tool-independent</x:v>
      </x:c>
      <x:c r="L198" s="44" t="str">
        <x:v>Free lesson</x:v>
      </x:c>
      <x:c r="M198" s="78" t="str">
        <x:v>https://www.youtube.com/watch?v=b8RT5w-QISY</x:v>
      </x:c>
      <x:c r="N198" s="78" t="str">
        <x:v>https://www.youtube.com/watch?v=b8RT5w-QISY</x:v>
      </x:c>
      <x:c r="O198" s="82" t="str">
        <x:v>Creator's lesson description reviewed</x:v>
      </x:c>
      <x:c r="P198" s="82" t="str">
        <x:v>2020 editorial advice, not a current algorithm explanation or a demonstrated retention-dashboard walkthrough. Not a current Studio analytics demonstration; supply example analytics separately if assessing data interpretation.</x:v>
      </x:c>
    </x:row>
    <x:row r="199" ht="64" customHeight="1">
      <x:c r="A199" s="66" t="str">
        <x:v>Advanced</x:v>
      </x:c>
      <x:c r="B199" s="103"/>
      <x:c r="C199" s="103"/>
      <x:c r="D199" s="74" t="str">
        <x:v>YouTube: pacing the whole episode</x:v>
      </x:c>
      <x:c r="E199" s="70" t="str">
        <x:f>IFERROR(HYPERLINK(M199,"Pacing in Film Editing — The Framework Pro
Editors Use"),"Pacing in Film Editing — The Framework Pro
Editors Use")</x:f>
        <x:v>Pacing in Film Editing — The Framework Pro
Editors Use</x:v>
      </x:c>
      <x:c r="F199" s="44" t="str">
        <x:v>01:28–07:23 pacing arc; 07:47–18:12 worked scene comparisons</x:v>
      </x:c>
      <x:c r="G199" s="44" t="str">
        <x:v>The pacing-arc framework supports an episode-level edit rather than isolated jump cuts. Document intentional changes between sections.</x:v>
      </x:c>
      <x:c r="H199" s="44" t="str">
        <x:v>Transferable editorial method</x:v>
      </x:c>
      <x:c r="I199" s="44" t="str">
        <x:v>YouTube</x:v>
      </x:c>
      <x:c r="J199" s="44" t="str">
        <x:v>Inside The Edit</x:v>
      </x:c>
      <x:c r="K199" s="44" t="str">
        <x:v>Tool-independent</x:v>
      </x:c>
      <x:c r="L199" s="44" t="str">
        <x:v>Free lesson</x:v>
      </x:c>
      <x:c r="M199" s="78" t="str">
        <x:v>https://www.youtube.com/watch?v=bCVeyUFGxi8</x:v>
      </x:c>
      <x:c r="N199" s="78" t="str">
        <x:v>https://www.youtube.com/watch?v=bCVeyUFGxi8</x:v>
      </x:c>
      <x:c r="O199" s="82" t="str">
        <x:v>Creator description and chapter list reviewed</x:v>
      </x:c>
      <x:c r="P199" s="82" t="str">
        <x:v>Practise the named skill; the video is not evidence of independent competence.</x:v>
      </x:c>
    </x:row>
    <x:row r="200" ht="64" customHeight="1">
      <x:c r="A200" s="66" t="str">
        <x:v>Advanced</x:v>
      </x:c>
      <x:c r="B200" s="103"/>
      <x:c r="C200" s="103"/>
      <x:c r="D200" s="74" t="str">
        <x:v>Travel: expressing a place-based point of view</x:v>
      </x:c>
      <x:c r="E200" s="70" t="str">
        <x:f>IFERROR(HYPERLINK(M200,"Visual Storytelling in Filmmaking"),"Visual Storytelling in Filmmaking")</x:f>
        <x:v>Visual Storytelling in Filmmaking</x:v>
      </x:c>
      <x:c r="F200" s="44" t="str">
        <x:v>Whole focused lesson; no chapter markers verified</x:v>
      </x:c>
      <x:c r="G200" s="44" t="str">
        <x:v>Apply the image-led storytelling method to a specific local idea or person. The advanced exercise is a justified viewpoint, not a scenic montage.</x:v>
      </x:c>
      <x:c r="H200" s="44" t="str">
        <x:v>Targeted refresher</x:v>
      </x:c>
      <x:c r="I200" s="44" t="str">
        <x:v>Travel</x:v>
      </x:c>
      <x:c r="J200" s="44" t="str">
        <x:v>DSLRguide / Simon Cade</x:v>
      </x:c>
      <x:c r="K200" s="44" t="str">
        <x:v>Tool-independent</x:v>
      </x:c>
      <x:c r="L200" s="44" t="str">
        <x:v>Free lesson</x:v>
      </x:c>
      <x:c r="M200" s="78" t="str">
        <x:v>https://www.youtube.com/watch?v=4X5xvlTZpcY</x:v>
      </x:c>
      <x:c r="N200" s="78" t="str">
        <x:v>https://vimeo.com/127744356</x:v>
      </x:c>
      <x:c r="O200" s="82" t="str">
        <x:v>Creator's video description reviewed</x:v>
      </x:c>
      <x:c r="P200" s="82" t="str">
        <x:v>Free foundation alternative; the advanced application is assessed in the learner's own film, not demonstrated by viewing alone.</x:v>
      </x:c>
    </x:row>
    <x:row r="201" ht="64" customHeight="1">
      <x:c r="A201" s="66" t="str">
        <x:v>Advanced</x:v>
      </x:c>
      <x:c r="B201" s="103"/>
      <x:c r="C201" s="103"/>
      <x:c r="D201" s="74" t="str">
        <x:v>Travel: drawing meaningful local voices into the story</x:v>
      </x:c>
      <x:c r="E201" s="70" t="str">
        <x:f>IFERROR(HYPERLINK(M201,"How to Ask Great Documentary Interview
Questions"),"How to Ask Great Documentary Interview
Questions")</x:f>
        <x:v>How to Ask Great Documentary Interview
Questions</x:v>
      </x:c>
      <x:c r="F201" s="44" t="str">
        <x:v>Interview purpose, open questions, listening and follow-ups</x:v>
      </x:c>
      <x:c r="G201" s="44" t="str">
        <x:v>The documentary questioning approach supports respectful interviews with local participants. Use answers as evidence, not decorative sound bites.</x:v>
      </x:c>
      <x:c r="H201" s="44" t="str">
        <x:v>Transferable interview method</x:v>
      </x:c>
      <x:c r="I201" s="44" t="str">
        <x:v>Travel</x:v>
      </x:c>
      <x:c r="J201" s="44" t="str">
        <x:v>Videomaker</x:v>
      </x:c>
      <x:c r="K201" s="44" t="str">
        <x:v>Tool-independent</x:v>
      </x:c>
      <x:c r="L201" s="44" t="str">
        <x:v>Free lesson</x:v>
      </x:c>
      <x:c r="M201" s="78" t="str">
        <x:v>https://www.youtube.com/watch?v=qddEATeRpcI</x:v>
      </x:c>
      <x:c r="N201" s="78" t="str">
        <x:v>https://www.videomaker.com/article/c06/19014-how-to-ask-great-documentary-interview-questions/?amp=1</x:v>
      </x:c>
      <x:c r="O201" s="82" t="str">
        <x:v>Publisher's accompanying teaching article reviewed</x:v>
      </x:c>
      <x:c r="P201" s="82" t="str">
        <x:v>Practise the named skill; the video is not evidence of independent competence.</x:v>
      </x:c>
    </x:row>
    <x:row r="202" ht="64" customHeight="1">
      <x:c r="A202" s="66" t="str">
        <x:v>Advanced</x:v>
      </x:c>
      <x:c r="B202" s="103"/>
      <x:c r="C202" s="103"/>
      <x:c r="D202" s="74" t="str">
        <x:v>Travel: researched cultural story, shot choices and editorial design</x:v>
      </x:c>
      <x:c r="E202" s="70" t="str">
        <x:f>IFERROR(HYPERLINK(M202,"The Passion of Andalucia — Director's Film
Breakdown"),"The Passion of Andalucia — Director's Film
Breakdown")</x:f>
        <x:v>The Passion of Andalucia — Director's Film
Breakdown</x:v>
      </x:c>
      <x:c r="F202" s="44" t="str">
        <x:v>EXTRAS: full director's breakdown of The Passion of Andalucia</x:v>
      </x:c>
      <x:c r="G202" s="44" t="str">
        <x:v>The director's commentary analyses an actual cultural travel film. Connect research, images, transitions and sound to the learner's place-based treatment.</x:v>
      </x:c>
      <x:c r="H202" s="44" t="str">
        <x:v>Optional paid breakdown</x:v>
      </x:c>
      <x:c r="I202" s="44" t="str">
        <x:v>Travel</x:v>
      </x:c>
      <x:c r="J202" s="44" t="str">
        <x:v>Brandon Li / Unscripted Studio</x:v>
      </x:c>
      <x:c r="K202" s="44" t="str">
        <x:v>Creative/production methods; course also uses Pocket 3 and Resolve</x:v>
      </x:c>
      <x:c r="L202" s="62" t="str">
        <x:v>Paid / subscription</x:v>
      </x:c>
      <x:c r="M202" s="78" t="str">
        <x:v>https://unscripted.com/pocket/</x:v>
      </x:c>
      <x:c r="N202" s="78" t="str">
        <x:v>https://unscripted.com/pocket/</x:v>
      </x:c>
      <x:c r="O202" s="82" t="str">
        <x:v>Publisher's named bonus-lesson syllabus reviewed; paid lesson not accessed</x:v>
      </x:c>
      <x:c r="P202" s="82" t="str">
        <x:v>Paid bonus lesson. Use the commentary, not the showcase films or Pocket 3 setup chapters.</x:v>
      </x:c>
    </x:row>
    <x:row r="203" ht="64" customHeight="1">
      <x:c r="A203" s="66" t="str">
        <x:v>Advanced</x:v>
      </x:c>
      <x:c r="B203" s="103"/>
      <x:c r="C203" s="103"/>
      <x:c r="D203" s="74" t="str">
        <x:v>Advertising: a defensible director's treatment</x:v>
      </x:c>
      <x:c r="E203" s="70" t="str">
        <x:f>IFERROR(HYPERLINK(M203,"How To Write A Director's Treatment (FAST)?"),"How To Write A Director's Treatment (FAST)?")</x:f>
        <x:v>How To Write A Director's Treatment (FAST)?</x:v>
      </x:c>
      <x:c r="F203" s="44" t="str">
        <x:v>08:34–30:19: what to write in a director's treatment</x:v>
      </x:c>
      <x:c r="G203" s="44" t="str">
        <x:v>The treatment-writing section supports a precise commercial proposal. Explain the approach, intended tone and production implications before testing.</x:v>
      </x:c>
      <x:c r="H203" s="44" t="str">
        <x:v>Selected-pathway lesson</x:v>
      </x:c>
      <x:c r="I203" s="44" t="str">
        <x:v>Advertising</x:v>
      </x:c>
      <x:c r="J203" s="44" t="str">
        <x:v>Robin Piree</x:v>
      </x:c>
      <x:c r="K203" s="44" t="str">
        <x:v>Tool-independent</x:v>
      </x:c>
      <x:c r="L203" s="44" t="str">
        <x:v>Free lesson</x:v>
      </x:c>
      <x:c r="M203" s="78" t="str">
        <x:v>https://www.youtube.com/watch?v=ennTIMMYYXg</x:v>
      </x:c>
      <x:c r="N203" s="78" t="str">
        <x:v>https://www.youtube.com/watch?v=ennTIMMYYXg</x:v>
      </x:c>
      <x:c r="O203" s="82" t="str">
        <x:v>Creator description and published topics reviewed</x:v>
      </x:c>
      <x:c r="P203" s="82" t="str">
        <x:v>Practise the named skill; the video is not evidence of independent competence.</x:v>
      </x:c>
    </x:row>
    <x:row r="204" ht="64" customHeight="1">
      <x:c r="A204" s="66" t="str">
        <x:v>Advanced</x:v>
      </x:c>
      <x:c r="B204" s="103"/>
      <x:c r="C204" s="103"/>
      <x:c r="D204" s="74" t="str">
        <x:v>Advertising: controlled product light and movement</x:v>
      </x:c>
      <x:c r="E204" s="70" t="str">
        <x:f>IFERROR(HYPERLINK(M204,"Product Lighting — Commercial
Cinematography 101"),"Product Lighting — Commercial
Cinematography 101")</x:f>
        <x:v>Product Lighting — Commercial
Cinematography 101</x:v>
      </x:c>
      <x:c r="F204" s="44" t="str">
        <x:v>Reflective bottle lighting; source shape; camera/light movement</x:v>
      </x:c>
      <x:c r="G204" s="44" t="str">
        <x:v>The reflective-product demonstration supports repeatable commercial imagery. Test the product reveal across the planned main and short versions.</x:v>
      </x:c>
      <x:c r="H204" s="44" t="str">
        <x:v>Selected-pathway technical lesson</x:v>
      </x:c>
      <x:c r="I204" s="44" t="str">
        <x:v>Advertising</x:v>
      </x:c>
      <x:c r="J204" s="44" t="str">
        <x:v>Aputure</x:v>
      </x:c>
      <x:c r="K204" s="44" t="str">
        <x:v>Tool-independent</x:v>
      </x:c>
      <x:c r="L204" s="44" t="str">
        <x:v>Free lesson</x:v>
      </x:c>
      <x:c r="M204" s="78" t="str">
        <x:v>https://www.youtube.com/watch?v=kjv-n7CeBNY</x:v>
      </x:c>
      <x:c r="N204" s="78" t="str">
        <x:v>https://www.youtube.com/watch?v=kjv-n7CeBNY</x:v>
      </x:c>
      <x:c r="O204" s="82" t="str">
        <x:v>Creator's detailed lesson description reviewed</x:v>
      </x:c>
      <x:c r="P204" s="82" t="str">
        <x:v>Uses a beer-bottle example; practise the lighting technique on a non-alcohol product. Not a creative-strategy or budgeting lesson.</x:v>
      </x:c>
    </x:row>
    <x:row r="205" ht="96" customHeight="1">
      <x:c r="A205" s="114" t="str">
        <x:v>Advanced</x:v>
      </x:c>
      <x:c r="B205" s="115"/>
      <x:c r="C205" s="115"/>
      <x:c r="D205" s="107" t="str">
        <x:v>Integrating generated VFX elements into live action</x:v>
      </x:c>
      <x:c r="E205" s="108" t="str">
        <x:f>IFERROR(HYPERLINK(M205,"Hybrid AI / Live-action VFX Tutorial"),"Hybrid AI / Live-action VFX Tutorial")</x:f>
        <x:v>Hybrid AI / Live-action VFX Tutorial</x:v>
      </x:c>
      <x:c r="F205" s="109" t="str">
        <x:v>Whole focused tutorial / case study; chapter timestamps not verified</x:v>
      </x:c>
      <x:c r="G205" s="109" t="str">
        <x:v>Study the cowboy sequence and document the practical footage, generated elements and compositing decisions.</x:v>
      </x:c>
      <x:c r="H205" s="109" t="str">
        <x:v>AI hybrid lesson (A-AI01)</x:v>
      </x:c>
      <x:c r="I205" s="109" t="str">
        <x:v>VFX / hybrid filmmaking</x:v>
      </x:c>
      <x:c r="J205" s="109" t="str">
        <x:v>Albert Bozesan &amp; Robert Sladeczek / Curious Refuge</x:v>
      </x:c>
      <x:c r="K205" s="109" t="str">
        <x:v>Live-action footage, AI tools and compositing software</x:v>
      </x:c>
      <x:c r="L205" s="109" t="str">
        <x:v>Free YouTube video; tool access may be paid</x:v>
      </x:c>
      <x:c r="M205" s="110" t="str">
        <x:v>https://www.youtube.com/watch?v=rpEKSa8LPrE</x:v>
      </x:c>
      <x:c r="N205" s="110" t="str">
        <x:v>https://www.youtube.com/watch?v=rpEKSa8LPrE</x:v>
      </x:c>
      <x:c r="O205" s="111" t="str">
        <x:v>Description / publisher references reviewed; learner comments and counts unverified</x:v>
      </x:c>
      <x:c r="P205" s="111" t="str">
        <x:v>VFX pathway option. Includes generation; prioritise integration with real footage.</x:v>
      </x:c>
    </x:row>
    <x:row r="206" ht="96" customHeight="1">
      <x:c r="A206" s="114" t="str">
        <x:v>Advanced</x:v>
      </x:c>
      <x:c r="B206" s="115"/>
      <x:c r="C206" s="115"/>
      <x:c r="D206" s="107" t="str">
        <x:v>Transferring filmed performances into an editable CG workflow</x:v>
      </x:c>
      <x:c r="E206" s="108" t="str">
        <x:f>IFERROR(HYPERLINK(M206,"Intro to Live Action | Autodesk Flow Studio"),"Intro to Live Action | Autodesk Flow Studio")</x:f>
        <x:v>Intro to Live Action | Autodesk Flow Studio</x:v>
      </x:c>
      <x:c r="F206" s="109" t="str">
        <x:v>Whole focused tutorial / case study; chapter timestamps not verified</x:v>
      </x:c>
      <x:c r="G206" s="109" t="str">
        <x:v>Study actor scanning, character assignment and the handoff to further animation and compositing work.</x:v>
      </x:c>
      <x:c r="H206" s="109" t="str">
        <x:v>AI hybrid lesson (A-AI03)</x:v>
      </x:c>
      <x:c r="I206" s="109" t="str">
        <x:v>VFX / hybrid filmmaking</x:v>
      </x:c>
      <x:c r="J206" s="109" t="str">
        <x:v>Autodesk</x:v>
      </x:c>
      <x:c r="K206" s="109" t="str">
        <x:v>Autodesk Flow Studio</x:v>
      </x:c>
      <x:c r="L206" s="109" t="str">
        <x:v>Free YouTube video; tool access may be paid</x:v>
      </x:c>
      <x:c r="M206" s="110" t="str">
        <x:v>https://www.youtube.com/watch?v=b7PxXMnhs_w</x:v>
      </x:c>
      <x:c r="N206" s="110" t="str">
        <x:v>https://www.youtube.com/watch?v=b7PxXMnhs_w</x:v>
      </x:c>
      <x:c r="O206" s="111" t="str">
        <x:v>Description / publisher references reviewed; learner comments and counts unverified</x:v>
      </x:c>
      <x:c r="P206" s="111" t="str">
        <x:v>VFX pathway option. Access and export capabilities depend on the selected plan.</x:v>
      </x:c>
    </x:row>
    <x:row r="207" ht="100" customHeight="1">
      <x:c r="A207" s="125" t="str">
        <x:v>Advanced</x:v>
      </x:c>
      <x:c r="B207" s="126" t="str">
        <x:v>A-PS
Creative Leadership, Strategic Positioning and Persuasion</x:v>
      </x:c>
      <x:c r="C207" s="126"/>
      <x:c r="D207" s="118" t="str">
        <x:v>Team leadership and psychological safety</x:v>
      </x:c>
      <x:c r="E207" s="119" t="str">
        <x:f>IFERROR(HYPERLINK(M207,"How to Turn a Group of Strangers into a Team"),"How to Turn a Group of Strangers into a Team")</x:f>
        <x:v>How to Turn a Group of Strangers into a Team</x:v>
      </x:c>
      <x:c r="F207" s="120" t="str">
        <x:v>Whole lesson; chapter timestamps not verified</x:v>
      </x:c>
      <x:c r="G207" s="120" t="str">
        <x:v>Lead a crew briefing that clarifies responsibilities, invites concerns and establishes how problems will be escalated.</x:v>
      </x:c>
      <x:c r="H207" s="120" t="str">
        <x:v>Professional skills lesson (A1)</x:v>
      </x:c>
      <x:c r="I207" s="120" t="str">
        <x:v>All genres</x:v>
      </x:c>
      <x:c r="J207" s="120" t="str">
        <x:v>Amy Edmondson / TED</x:v>
      </x:c>
      <x:c r="K207" s="120" t="str">
        <x:v>Tool-independent</x:v>
      </x:c>
      <x:c r="L207" s="120" t="str">
        <x:v>Free YouTube video</x:v>
      </x:c>
      <x:c r="M207" s="121" t="str">
        <x:v>https://www.youtube.com/watch?v=3boKz0Exros</x:v>
      </x:c>
      <x:c r="N207" s="121" t="str">
        <x:v>https://www.ted.com/talks/amy_edmondson_how_to_turn_a_group_of_strangers_into_a_team</x:v>
      </x:c>
      <x:c r="O207" s="122" t="str">
        <x:v>Approved selection. Publisher/description review; not full playback. Learner comments unverified.</x:v>
      </x:c>
      <x:c r="P207" s="122" t="str">
        <x:v>General team-leadership principles. Assess through a complex production scenario.</x:v>
      </x:c>
    </x:row>
    <x:row r="208" ht="100" customHeight="1">
      <x:c r="A208" s="125" t="str">
        <x:v>Advanced</x:v>
      </x:c>
      <x:c r="B208" s="126"/>
      <x:c r="C208" s="126"/>
      <x:c r="D208" s="118" t="str">
        <x:v>Difficult conversations and client relationships</x:v>
      </x:c>
      <x:c r="E208" s="119" t="str">
        <x:f>IFERROR(HYPERLINK(M208,"Dealing with Difficult Clients"),"Dealing with Difficult Clients")</x:f>
        <x:v>Dealing with Difficult Clients</x:v>
      </x:c>
      <x:c r="F208" s="120" t="str">
        <x:v>Whole lesson; chapter timestamps not verified</x:v>
      </x:c>
      <x:c r="G208" s="120" t="str">
        <x:v>Handle a scenario involving conflicting stakeholders, late feedback and an unchanged delivery deadline.</x:v>
      </x:c>
      <x:c r="H208" s="120" t="str">
        <x:v>Professional skills lesson (A2)</x:v>
      </x:c>
      <x:c r="I208" s="120" t="str">
        <x:v>All genres</x:v>
      </x:c>
      <x:c r="J208" s="120" t="str">
        <x:v>Chris Do / The Futur</x:v>
      </x:c>
      <x:c r="K208" s="120" t="str">
        <x:v>Tool-independent</x:v>
      </x:c>
      <x:c r="L208" s="120" t="str">
        <x:v>Free YouTube video</x:v>
      </x:c>
      <x:c r="M208" s="121" t="str">
        <x:v>https://www.youtube.com/watch?v=B2Vw6IUriTo</x:v>
      </x:c>
      <x:c r="N208" s="121" t="str">
        <x:v>https://thefutur.com/content/dealing-with-difficult-clients</x:v>
      </x:c>
      <x:c r="O208" s="122" t="str">
        <x:v>Approved selection. Publisher/description review; not full playback. Learner comments unverified.</x:v>
      </x:c>
      <x:c r="P208" s="122" t="str">
        <x:v>Short creative-business lesson. Advanced learning comes from the stakeholder simulation.</x:v>
      </x:c>
    </x:row>
    <x:row r="209" ht="100" customHeight="1">
      <x:c r="A209" s="125" t="str">
        <x:v>Advanced</x:v>
      </x:c>
      <x:c r="B209" s="126"/>
      <x:c r="C209" s="126"/>
      <x:c r="D209" s="118" t="str">
        <x:v>Communicating commercial value</x:v>
      </x:c>
      <x:c r="E209" s="119" t="str">
        <x:f>IFERROR(HYPERLINK(M209,"Pricing Design Work &amp; Creativity"),"Pricing Design Work &amp; Creativity")</x:f>
        <x:v>Pricing Design Work &amp; Creativity</x:v>
      </x:c>
      <x:c r="F209" s="120" t="str">
        <x:v>Whole lesson; chapter timestamps not verified</x:v>
      </x:c>
      <x:c r="G209" s="120" t="str">
        <x:v>Present three video-service options, connecting each to outcomes, deliverables and production costs.</x:v>
      </x:c>
      <x:c r="H209" s="120" t="str">
        <x:v>Professional skills lesson (A3)</x:v>
      </x:c>
      <x:c r="I209" s="120" t="str">
        <x:v>All genres</x:v>
      </x:c>
      <x:c r="J209" s="120" t="str">
        <x:v>Chris Do / The Futur</x:v>
      </x:c>
      <x:c r="K209" s="120" t="str">
        <x:v>Tool-independent</x:v>
      </x:c>
      <x:c r="L209" s="120" t="str">
        <x:v>Free YouTube video</x:v>
      </x:c>
      <x:c r="M209" s="121" t="str">
        <x:v>https://www.youtube.com/watch?v=RKXZ7t_RiOE</x:v>
      </x:c>
      <x:c r="N209" s="121" t="str">
        <x:v>https://thefutur.com/content/pricing-design-work-creativity</x:v>
      </x:c>
      <x:c r="O209" s="122" t="str">
        <x:v>Approved selection. Publisher/description review; not full playback. Learner comments unverified.</x:v>
      </x:c>
      <x:c r="P209" s="122" t="str">
        <x:v>Design-service examples. Adapt the value discussion to video work and support claims with evidence.</x:v>
      </x:c>
    </x:row>
    <x:row r="210" ht="100" customHeight="1">
      <x:c r="A210" s="125" t="str">
        <x:v>Advanced</x:v>
      </x:c>
      <x:c r="B210" s="126"/>
      <x:c r="C210" s="126"/>
      <x:c r="D210" s="118" t="str">
        <x:v>Positioning and choosing a market</x:v>
      </x:c>
      <x:c r="E210" s="119" t="str">
        <x:f>IFERROR(HYPERLINK(M210,"How to Pick a Profitable Niche for Your Creative Agency"),"How to Pick a Profitable Niche for Your Creative Agency")</x:f>
        <x:v>How to Pick a Profitable Niche for Your Creative Agency</x:v>
      </x:c>
      <x:c r="F210" s="120" t="str">
        <x:v>Whole lesson; chapter timestamps not verified</x:v>
      </x:c>
      <x:c r="G210" s="120" t="str">
        <x:v>Define a production specialisation, target customer, differentiator and supporting portfolio evidence.</x:v>
      </x:c>
      <x:c r="H210" s="120" t="str">
        <x:v>Professional skills lesson (A4)</x:v>
      </x:c>
      <x:c r="I210" s="120" t="str">
        <x:v>All genres</x:v>
      </x:c>
      <x:c r="J210" s="120" t="str">
        <x:v>Matt Essam / The Futur</x:v>
      </x:c>
      <x:c r="K210" s="120" t="str">
        <x:v>Tool-independent</x:v>
      </x:c>
      <x:c r="L210" s="120" t="str">
        <x:v>Free YouTube video</x:v>
      </x:c>
      <x:c r="M210" s="121" t="str">
        <x:v>https://www.youtube.com/watch?v=KfKpmV9uFx4</x:v>
      </x:c>
      <x:c r="N210" s="121" t="str">
        <x:v>https://thefutur.com/watch/how-to-pick-a-profitable-agency-niche</x:v>
      </x:c>
      <x:c r="O210" s="122" t="str">
        <x:v>Approved selection. Publisher/description review; not full playback. Learner comments unverified.</x:v>
      </x:c>
      <x:c r="P210" s="122" t="str">
        <x:v>Agency-focused lesson. For an internal team, define the audience and the team’s distinctive contribution.</x:v>
      </x:c>
    </x:row>
    <x:row r="211" ht="100" customHeight="1">
      <x:c r="A211" s="125" t="str">
        <x:v>Advanced</x:v>
      </x:c>
      <x:c r="B211" s="126"/>
      <x:c r="C211" s="126"/>
      <x:c r="D211" s="118" t="str">
        <x:v>Selling ideas and influencing stakeholders</x:v>
      </x:c>
      <x:c r="E211" s="119" t="str">
        <x:f>IFERROR(HYPERLINK(M211,"The Secret Structure of Great Talks"),"The Secret Structure of Great Talks")</x:f>
        <x:v>The Secret Structure of Great Talks</x:v>
      </x:c>
      <x:c r="F211" s="120" t="str">
        <x:v>Whole lesson; chapter timestamps not verified</x:v>
      </x:c>
      <x:c r="G211" s="120" t="str">
        <x:v>Pitch a campaign or production concept to a panel, ending with a clear approval or funding request.</x:v>
      </x:c>
      <x:c r="H211" s="120" t="str">
        <x:v>Professional skills lesson (A5)</x:v>
      </x:c>
      <x:c r="I211" s="120" t="str">
        <x:v>All genres</x:v>
      </x:c>
      <x:c r="J211" s="120" t="str">
        <x:v>Nancy Duarte / TEDxEast</x:v>
      </x:c>
      <x:c r="K211" s="120" t="str">
        <x:v>Tool-independent</x:v>
      </x:c>
      <x:c r="L211" s="120" t="str">
        <x:v>Free YouTube video</x:v>
      </x:c>
      <x:c r="M211" s="121" t="str">
        <x:v>https://www.youtube.com/watch?v=1nYFpuc2Umk</x:v>
      </x:c>
      <x:c r="N211" s="121" t="str">
        <x:v>https://www.duarte.com/resources/talks/the-secret-structure-of-great-talks/</x:v>
      </x:c>
      <x:c r="O211" s="122" t="str">
        <x:v>Approved selection. Publisher/description review; not full playback. Learner comments unverified.</x:v>
      </x:c>
      <x:c r="P211" s="122" t="str">
        <x:v>Module assessment: stakeholder pitch, team briefing and difficult-client simulation.</x:v>
      </x:c>
    </x:row>
    <x:row r="212" ht="64" customHeight="1">
      <x:c r="A212" s="66" t="str">
        <x:v>Advanced</x:v>
      </x:c>
      <x:c r="B212" s="103" t="str">
        <x:v>A14
Independent advanced capstone</x:v>
      </x:c>
      <x:c r="C212" s="103"/>
      <x:c r="D212" s="75" t="str">
        <x:v>Planning phase: resource and scope trade-offs</x:v>
      </x:c>
      <x:c r="E212" s="71" t="str">
        <x:f>IFERROR(HYPERLINK(M212,"How To Make A Film Budget | Tutorial + Free
Download"),"How To Make A Film Budget | Tutorial + Free
Download")</x:f>
        <x:v>How To Make A Film Budget | Tutorial + Free
Download</x:v>
      </x:c>
      <x:c r="F212" s="52" t="str">
        <x:v>Budget assumptions and above-/below-the-line categories</x:v>
      </x:c>
      <x:c r="G212" s="52" t="str">
        <x:v>Use the budgeting approach to defend the production plan and response to a constraint. Make changes visible to collaborators.</x:v>
      </x:c>
      <x:c r="H212" s="52" t="str">
        <x:v>Capstone phase support</x:v>
      </x:c>
      <x:c r="I212" s="52" t="str">
        <x:v>All genres</x:v>
      </x:c>
      <x:c r="J212" s="52" t="str">
        <x:v>Curren Sheldon</x:v>
      </x:c>
      <x:c r="K212" s="52" t="str">
        <x:v>Tool-independent</x:v>
      </x:c>
      <x:c r="L212" s="52" t="str">
        <x:v>Free lesson</x:v>
      </x:c>
      <x:c r="M212" s="79" t="str">
        <x:v>https://www.youtube.com/watch?v=kLnW3pkBcPI</x:v>
      </x:c>
      <x:c r="N212" s="79" t="str">
        <x:v>https://www.youtube.com/watch?v=kLnW3pkBcPI</x:v>
      </x:c>
      <x:c r="O212" s="83" t="str">
        <x:v>Creator's lesson description reviewed</x:v>
      </x:c>
      <x:c r="P212" s="83" t="str">
        <x:v>Video is free; the optional template requires newsletter registration. Adapt categories to a small production.</x:v>
      </x:c>
    </x:row>
    <x:row r="213" ht="64" customHeight="1">
      <x:c r="A213" s="66" t="str">
        <x:v>Advanced</x:v>
      </x:c>
      <x:c r="B213" s="103"/>
      <x:c r="C213" s="103"/>
      <x:c r="D213" s="75" t="str">
        <x:v>Postproduction phase: collaborative project control</x:v>
      </x:c>
      <x:c r="E213" s="71" t="str">
        <x:f>IFERROR(HYPERLINK(M213,"Productions — collaborative long-form
editing"),"Productions — collaborative long-form
editing")</x:f>
        <x:v>Productions — collaborative long-form
editing</x:v>
      </x:c>
      <x:c r="F213" s="52" t="str">
        <x:v>Whole focused lesson; no chapter markers verified</x:v>
      </x:c>
      <x:c r="G213" s="52" t="str">
        <x:v>Use the shared-project workflow only where collaboration is part of the commission. Demonstrate edit ownership and a recoverable handover.</x:v>
      </x:c>
      <x:c r="H213" s="52" t="str">
        <x:v>Conditional capstone support</x:v>
      </x:c>
      <x:c r="I213" s="52" t="str">
        <x:v>All genres</x:v>
      </x:c>
      <x:c r="J213" s="52" t="str">
        <x:v>Adobe / Karl Soule</x:v>
      </x:c>
      <x:c r="K213" s="52" t="str">
        <x:v>Premiere Pro</x:v>
      </x:c>
      <x:c r="L213" s="52" t="str">
        <x:v>Free lesson</x:v>
      </x:c>
      <x:c r="M213" s="79" t="str">
        <x:v>https://adobevideotraining.com/video/productions/</x:v>
      </x:c>
      <x:c r="N213" s="79" t="str">
        <x:v>https://adobevideotraining.com/video/productions/</x:v>
      </x:c>
      <x:c r="O213" s="83" t="str">
        <x:v>Publisher video description/syllabus reviewed; not full playback</x:v>
      </x:c>
      <x:c r="P213" s="83" t="str">
        <x:v>Use the installed-version controls. The publisher synopsis was reviewed; full playback was not audited.</x:v>
      </x:c>
    </x:row>
    <x:row r="214" ht="64" customHeight="1">
      <x:c r="A214" s="66" t="str">
        <x:v>Advanced</x:v>
      </x:c>
      <x:c r="B214" s="103"/>
      <x:c r="C214" s="103"/>
      <x:c r="D214" s="75" t="str">
        <x:v>Editorial phase: validating the larger pacing structure</x:v>
      </x:c>
      <x:c r="E214" s="71" t="str">
        <x:f>IFERROR(HYPERLINK(M214,"Pacing in Film Editing — The Framework Pro
Editors Use"),"Pacing in Film Editing — The Framework Pro
Editors Use")</x:f>
        <x:v>Pacing in Film Editing — The Framework Pro
Editors Use</x:v>
      </x:c>
      <x:c r="F214" s="52" t="str">
        <x:v>01:28–07:23 pacing arc; 07:47–18:12 worked scene comparisons</x:v>
      </x:c>
      <x:c r="G214" s="52" t="str">
        <x:v>Apply the pacing framework to the whole commissioned film. Support structural revisions with a before-and-after comparison.</x:v>
      </x:c>
      <x:c r="H214" s="52" t="str">
        <x:v>Capstone phase support</x:v>
      </x:c>
      <x:c r="I214" s="52" t="str">
        <x:v>All genres</x:v>
      </x:c>
      <x:c r="J214" s="52" t="str">
        <x:v>Inside The Edit</x:v>
      </x:c>
      <x:c r="K214" s="52" t="str">
        <x:v>Tool-independent</x:v>
      </x:c>
      <x:c r="L214" s="52" t="str">
        <x:v>Free lesson</x:v>
      </x:c>
      <x:c r="M214" s="79" t="str">
        <x:v>https://www.youtube.com/watch?v=bCVeyUFGxi8</x:v>
      </x:c>
      <x:c r="N214" s="79" t="str">
        <x:v>https://www.youtube.com/watch?v=bCVeyUFGxi8</x:v>
      </x:c>
      <x:c r="O214" s="83" t="str">
        <x:v>Creator description and chapter list reviewed</x:v>
      </x:c>
      <x:c r="P214" s="83" t="str">
        <x:v>Practise the named skill; the video is not evidence of independent competence.</x:v>
      </x:c>
    </x:row>
    <x:row r="215" ht="64" customHeight="1">
      <x:c r="A215" s="66" t="str">
        <x:v>Advanced</x:v>
      </x:c>
      <x:c r="B215" s="103"/>
      <x:c r="C215" s="103"/>
      <x:c r="D215" s="75" t="str">
        <x:v>Review phase: resolving notes and identifying approval</x:v>
      </x:c>
      <x:c r="E215" s="71" t="str">
        <x:f>IFERROR(HYPERLINK(M215,"Enhance your review process with Frame.io"),"Enhance your review process with Frame.io")</x:f>
        <x:v>Enhance your review process with Frame.io</x:v>
      </x:c>
      <x:c r="F215" s="52" t="str">
        <x:v>00:30 upload; timecoded feedback; new-version workflow</x:v>
      </x:c>
      <x:c r="G215" s="52" t="str">
        <x:v>Use the review and version mechanism to manage two feedback rounds. The learner must still justify creative decisions and identify the approved version.</x:v>
      </x:c>
      <x:c r="H215" s="52" t="str">
        <x:v>Capstone phase support</x:v>
      </x:c>
      <x:c r="I215" s="52" t="str">
        <x:v>All genres</x:v>
      </x:c>
      <x:c r="J215" s="52" t="str">
        <x:v>Adobe / Sarah John</x:v>
      </x:c>
      <x:c r="K215" s="52" t="str">
        <x:v>Premiere / Frame.io</x:v>
      </x:c>
      <x:c r="L215" s="52" t="str">
        <x:v>Free lesson</x:v>
      </x:c>
      <x:c r="M215" s="79" t="str">
        <x:v>https://www.adobe.com/learn/premiere-pro/web/team-review-with-frame-io</x:v>
      </x:c>
      <x:c r="N215" s="79" t="str">
        <x:v>https://www.adobe.com/learn/premiere-pro/web/team-review-with-frame-io</x:v>
      </x:c>
      <x:c r="O215" s="83" t="str">
        <x:v>Publisher video transcript reviewed</x:v>
      </x:c>
      <x:c r="P215" s="83" t="str">
        <x:v>Legacy/V4 panel locations differ. Teaches review mechanics, not creative-note judgement.</x:v>
      </x:c>
    </x:row>
    <x:row r="216" ht="64" customHeight="1">
      <x:c r="A216" s="66" t="str">
        <x:v>Advanced</x:v>
      </x:c>
      <x:c r="B216" s="103"/>
      <x:c r="C216" s="103"/>
      <x:c r="D216" s="75" t="str">
        <x:v>Delivery phase: producing the agreed handover package</x:v>
      </x:c>
      <x:c r="E216" s="71" t="str">
        <x:f>IFERROR(HYPERLINK(M216,"Exporting &amp; delivering projects"),"Exporting &amp; delivering projects")</x:f>
        <x:v>Exporting &amp; delivering projects</x:v>
      </x:c>
      <x:c r="F216" s="52" t="str">
        <x:v>Whole focused lesson; no chapter markers verified</x:v>
      </x:c>
      <x:c r="G216" s="52" t="str">
        <x:v>Configure and inspect each contracted version. Include source/project organisation and final approval evidence separately from the export.</x:v>
      </x:c>
      <x:c r="H216" s="52" t="str">
        <x:v>Capstone phase support</x:v>
      </x:c>
      <x:c r="I216" s="52" t="str">
        <x:v>All genres</x:v>
      </x:c>
      <x:c r="J216" s="52" t="str">
        <x:v>Adobe Video Training</x:v>
      </x:c>
      <x:c r="K216" s="52" t="str">
        <x:v>Premiere Pro</x:v>
      </x:c>
      <x:c r="L216" s="52" t="str">
        <x:v>Free lesson</x:v>
      </x:c>
      <x:c r="M216" s="79" t="str">
        <x:v>https://adobevideotraining.com/video/exporting-delivering-projects/</x:v>
      </x:c>
      <x:c r="N216" s="79" t="str">
        <x:v>https://adobevideotraining.com/video/exporting-delivering-projects/</x:v>
      </x:c>
      <x:c r="O216" s="83" t="str">
        <x:v>Publisher video description/syllabus reviewed; not full playback</x:v>
      </x:c>
      <x:c r="P216" s="83" t="str">
        <x:v>Use the installed-version controls. The publisher synopsis was reviewed; full playback was not audited.</x:v>
      </x:c>
    </x:row>
  </x:sheetData>
  <x:mergeCells>
    <x:mergeCell ref="A1:P1"/>
    <x:mergeCell ref="A2:P2"/>
    <x:mergeCell ref="A3:C3"/>
    <x:mergeCell ref="D3:F3"/>
    <x:mergeCell ref="G3:I3"/>
    <x:mergeCell ref="J3:L3"/>
    <x:mergeCell ref="M3:P3"/>
    <x:mergeCell ref="A4:C4"/>
    <x:mergeCell ref="D4:F4"/>
    <x:mergeCell ref="G4:I4"/>
    <x:mergeCell ref="J4:L4"/>
    <x:mergeCell ref="M4:P4"/>
    <x:mergeCell ref="A5:P5"/>
    <x:mergeCell ref="B7:C7"/>
    <x:mergeCell ref="B63:C67"/>
    <x:mergeCell ref="B133:C137"/>
    <x:mergeCell ref="B207:C211"/>
    <x:mergeCell ref="B8:C11"/>
    <x:mergeCell ref="B12:C15"/>
    <x:mergeCell ref="B16:C20"/>
    <x:mergeCell ref="B21:C25"/>
    <x:mergeCell ref="B26:C29"/>
    <x:mergeCell ref="B30:C31"/>
    <x:mergeCell ref="B32:C34"/>
    <x:mergeCell ref="B35:C37"/>
    <x:mergeCell ref="B38:C41"/>
    <x:mergeCell ref="B42:C45"/>
    <x:mergeCell ref="B46:C47"/>
    <x:mergeCell ref="B48:C51"/>
    <x:mergeCell ref="B52:C62"/>
    <x:mergeCell ref="B68:C71"/>
    <x:mergeCell ref="B72:C74"/>
    <x:mergeCell ref="B75:C77"/>
    <x:mergeCell ref="B78:C82"/>
    <x:mergeCell ref="B83:C86"/>
    <x:mergeCell ref="B87:C89"/>
    <x:mergeCell ref="B90:C92"/>
    <x:mergeCell ref="B93:C96"/>
    <x:mergeCell ref="B97:C101"/>
    <x:mergeCell ref="B102:C105"/>
    <x:mergeCell ref="B106:C109"/>
    <x:mergeCell ref="B110:C112"/>
    <x:mergeCell ref="B113:C116"/>
    <x:mergeCell ref="B117:C132"/>
    <x:mergeCell ref="B138:C144"/>
    <x:mergeCell ref="B145:C147"/>
    <x:mergeCell ref="B148:C150"/>
    <x:mergeCell ref="B151:C153"/>
    <x:mergeCell ref="B154:C157"/>
    <x:mergeCell ref="B158:C160"/>
    <x:mergeCell ref="B161:C163"/>
    <x:mergeCell ref="B164:C166"/>
    <x:mergeCell ref="B167:C171"/>
    <x:mergeCell ref="B172:C175"/>
    <x:mergeCell ref="B176:C178"/>
    <x:mergeCell ref="B179:C182"/>
    <x:mergeCell ref="B183:C186"/>
    <x:mergeCell ref="B187:C206"/>
    <x:mergeCell ref="B212:C216"/>
  </x:mergeCells>
  <x:pageMargins left="0.7" right="0.7" top="0.75" bottom="0.75" header="0.3" footer="0.3"/>
  <x:tableParts count="1">
    <x:tablePart xmlns:r="http://schemas.openxmlformats.org/officeDocument/2006/relationships" r:id="R21020984c5e04a59"/>
  </x:tableParts>
</x:worksheet>
</file>